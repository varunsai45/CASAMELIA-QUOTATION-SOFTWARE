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19420" windowHeight="7500" tabRatio="500" activeTab="2"/>
  </bookViews>
  <sheets>
    <sheet name="Master List" sheetId="1" r:id="rId1"/>
    <sheet name="Auto Qoutation" sheetId="2" r:id="rId2"/>
    <sheet name="new format " sheetId="5" r:id="rId3"/>
    <sheet name="Lists" sheetId="3" state="hidden" r:id="rId4"/>
    <sheet name="MasterFlat" sheetId="4" state="hidden" r:id="rId5"/>
  </sheets>
  <definedNames>
    <definedName name="CAR_1">Lists!$B$2:$B$3</definedName>
    <definedName name="CAR_2">Lists!$C$2:$C$3</definedName>
    <definedName name="CAR_3">Lists!$D$2:$D$3</definedName>
    <definedName name="CAR_4">Lists!$E$2:$E$6</definedName>
    <definedName name="CAR_5">Lists!$F$2:$F$7</definedName>
    <definedName name="CAR_6">Lists!$G$2:$G$4</definedName>
    <definedName name="CAR_7">Lists!$H$2:$H$6</definedName>
    <definedName name="CAR_8">Lists!$I$2:$I$5</definedName>
    <definedName name="CAR_9">Lists!$J$2:$J$4</definedName>
    <definedName name="FIN_1">Lists!$AS$2:$AS$12</definedName>
    <definedName name="FIN_10">Lists!$BB$2:$BB$3</definedName>
    <definedName name="FIN_11">Lists!$BC$2:$BC$2</definedName>
    <definedName name="FIN_12">Lists!$BD$2:$BD$2</definedName>
    <definedName name="FIN_13">Lists!$BE$2:$BE$2</definedName>
    <definedName name="FIN_14">Lists!$BF$2:$BF$2</definedName>
    <definedName name="FIN_15">Lists!$BG$2:$BG$2</definedName>
    <definedName name="FIN_16">Lists!$BH$2:$BH$2</definedName>
    <definedName name="FIN_17">Lists!$BI$2:$BI$13</definedName>
    <definedName name="FIN_18">Lists!$BJ$2:$BJ$6</definedName>
    <definedName name="FIN_19">Lists!$BK$2:$BK$3</definedName>
    <definedName name="FIN_2">Lists!$AT$2:$AT$12</definedName>
    <definedName name="FIN_20">Lists!$BL$2:$BL$2</definedName>
    <definedName name="FIN_21">Lists!$BM$2:$BM$2</definedName>
    <definedName name="FIN_22">Lists!$BN$2:$BN$2</definedName>
    <definedName name="FIN_23">Lists!$BO$2:$BO$2</definedName>
    <definedName name="FIN_24">Lists!$BP$2:$BP$2</definedName>
    <definedName name="FIN_25">Lists!$BQ$2:$BQ$2</definedName>
    <definedName name="FIN_26">Lists!$BR$2:$BR$13</definedName>
    <definedName name="FIN_27">Lists!$BS$2:$BS$6</definedName>
    <definedName name="FIN_28">Lists!$BT$2:$BT$3</definedName>
    <definedName name="FIN_29">Lists!$BU$2:$BU$2</definedName>
    <definedName name="FIN_3">Lists!$AU$2:$AU$12</definedName>
    <definedName name="FIN_30">Lists!$BV$2:$BV$2</definedName>
    <definedName name="FIN_31">Lists!$BW$2:$BW$2</definedName>
    <definedName name="FIN_32">Lists!$BX$2:$BX$2</definedName>
    <definedName name="FIN_33">Lists!$BY$2:$BY$2</definedName>
    <definedName name="FIN_34">Lists!$BZ$2:$BZ$2</definedName>
    <definedName name="FIN_35">Lists!$CA$2:$CA$13</definedName>
    <definedName name="FIN_36">Lists!$CB$2:$CB$6</definedName>
    <definedName name="FIN_37">Lists!$CC$2:$CC$3</definedName>
    <definedName name="FIN_38">Lists!$CD$2:$CD$2</definedName>
    <definedName name="FIN_39">Lists!$CE$2:$CE$2</definedName>
    <definedName name="FIN_4">Lists!$AV$2:$AV$3</definedName>
    <definedName name="FIN_40">Lists!$CF$2:$CF$2</definedName>
    <definedName name="FIN_41">Lists!$CG$2:$CG$2</definedName>
    <definedName name="FIN_42">Lists!$CH$2:$CH$2</definedName>
    <definedName name="FIN_43">Lists!$CI$2:$CI$2</definedName>
    <definedName name="FIN_44">Lists!$CJ$2:$CJ$13</definedName>
    <definedName name="FIN_45">Lists!$CK$2:$CK$6</definedName>
    <definedName name="FIN_46">Lists!$CL$2:$CL$3</definedName>
    <definedName name="FIN_47">Lists!$CM$2:$CM$2</definedName>
    <definedName name="FIN_48">Lists!$CN$2:$CN$2</definedName>
    <definedName name="FIN_49">Lists!$CO$2:$CO$2</definedName>
    <definedName name="FIN_5">Lists!$AW$2:$AW$12</definedName>
    <definedName name="FIN_50">Lists!$CP$2:$CP$2</definedName>
    <definedName name="FIN_51">Lists!$CQ$2:$CQ$2</definedName>
    <definedName name="FIN_52">Lists!$CR$2:$CR$2</definedName>
    <definedName name="FIN_53">Lists!$CS$2:$CS$13</definedName>
    <definedName name="FIN_54">Lists!$CT$2:$CT$6</definedName>
    <definedName name="FIN_55">Lists!$CU$2:$CU$10</definedName>
    <definedName name="FIN_56">Lists!$CV$2:$CV$11</definedName>
    <definedName name="FIN_57">Lists!$CW$2:$CW$2</definedName>
    <definedName name="FIN_58">Lists!$CX$2:$CX$2</definedName>
    <definedName name="FIN_59">Lists!$CY$2:$CY$2</definedName>
    <definedName name="FIN_6">Lists!$AX$2:$AX$3</definedName>
    <definedName name="FIN_60">Lists!$CZ$2:$CZ$2</definedName>
    <definedName name="FIN_61">Lists!$DA$2:$DA$2</definedName>
    <definedName name="FIN_62">Lists!$DB$2:$DB$2</definedName>
    <definedName name="FIN_63">Lists!$DC$2:$DC$2</definedName>
    <definedName name="FIN_64">Lists!$DD$2:$DD$2</definedName>
    <definedName name="FIN_65">Lists!$DE$2:$DE$2</definedName>
    <definedName name="FIN_66">Lists!$DF$2:$DF$2</definedName>
    <definedName name="FIN_67">Lists!$DG$2:$DG$2</definedName>
    <definedName name="FIN_68">Lists!$DH$2:$DH$2</definedName>
    <definedName name="FIN_69">Lists!$DI$2:$DI$2</definedName>
    <definedName name="FIN_7">Lists!$AY$2:$AY$9</definedName>
    <definedName name="FIN_70">Lists!$DJ$2:$DJ$3</definedName>
    <definedName name="FIN_71">Lists!$DK$2:$DK$2</definedName>
    <definedName name="FIN_72">Lists!$DL$2:$DL$2</definedName>
    <definedName name="FIN_73">Lists!$DM$2:$DM$2</definedName>
    <definedName name="FIN_74">Lists!$DN$2:$DN$2</definedName>
    <definedName name="FIN_75">Lists!$DO$2:$DO$3</definedName>
    <definedName name="FIN_8">Lists!$AZ$2:$AZ$13</definedName>
    <definedName name="FIN_9">Lists!$BA$2:$BA$6</definedName>
    <definedName name="ITEMS_LIST">Lists!$A$2:$A$10</definedName>
    <definedName name="MASTERFLAT_KEY">MasterFlat!$F$2:$F$239</definedName>
    <definedName name="MASTERFLAT_PRICE">MasterFlat!$E$2:$E$239</definedName>
    <definedName name="PAIRLIST">Lists!$K$2:$K$33</definedName>
    <definedName name="SHU_1">Lists!$L$2:$L$2</definedName>
    <definedName name="SHU_10">Lists!$U$2:$U$10</definedName>
    <definedName name="SHU_11">Lists!$V$2:$V$3</definedName>
    <definedName name="SHU_12">Lists!$W$2:$W$2</definedName>
    <definedName name="SHU_13">Lists!$X$2:$X$2</definedName>
    <definedName name="SHU_14">Lists!$Y$2:$Y$2</definedName>
    <definedName name="SHU_15">Lists!$Z$2:$Z$2</definedName>
    <definedName name="SHU_16">Lists!$AA$2:$AA$2</definedName>
    <definedName name="SHU_17">Lists!$AB$2:$AB$2</definedName>
    <definedName name="SHU_18">Lists!$AC$2:$AC$2</definedName>
    <definedName name="SHU_19">Lists!$AD$2:$AD$2</definedName>
    <definedName name="SHU_2">Lists!$M$2:$M$2</definedName>
    <definedName name="SHU_20">Lists!$AE$2:$AE$2</definedName>
    <definedName name="SHU_21">Lists!$AF$2:$AF$2</definedName>
    <definedName name="SHU_22">Lists!$AG$2:$AG$2</definedName>
    <definedName name="SHU_23">Lists!$AH$2:$AH$2</definedName>
    <definedName name="SHU_24">Lists!$AI$2:$AI$2</definedName>
    <definedName name="SHU_25">Lists!$AJ$2:$AJ$2</definedName>
    <definedName name="SHU_26">Lists!$AK$2:$AK$2</definedName>
    <definedName name="SHU_27">Lists!$AL$2:$AL$2</definedName>
    <definedName name="SHU_28">Lists!$AM$2:$AM$2</definedName>
    <definedName name="SHU_29">Lists!$AN$2:$AN$2</definedName>
    <definedName name="SHU_3">Lists!$N$2:$N$3</definedName>
    <definedName name="SHU_30">Lists!$AO$2:$AO$2</definedName>
    <definedName name="SHU_31">Lists!$AP$2:$AP$2</definedName>
    <definedName name="SHU_32">Lists!$AQ$2:$AQ$2</definedName>
    <definedName name="SHU_4">Lists!$O$2:$O$3</definedName>
    <definedName name="SHU_5">Lists!$P$2:$P$2</definedName>
    <definedName name="SHU_6">Lists!$Q$2:$Q$10</definedName>
    <definedName name="SHU_7">Lists!$R$2:$R$10</definedName>
    <definedName name="SHU_8">Lists!$S$2:$S$10</definedName>
    <definedName name="SHU_9">Lists!$T$2:$T$10</definedName>
    <definedName name="TRIPLIST">Lists!$AR$2:$AR$76</definedName>
  </definedNames>
  <calcPr calcId="1456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40" i="5" l="1"/>
  <c r="L39" i="5"/>
  <c r="M23" i="5" l="1"/>
  <c r="J38" i="5"/>
  <c r="L38" i="5"/>
  <c r="M38" i="5" s="1"/>
  <c r="L37" i="5"/>
  <c r="J37" i="5"/>
  <c r="L34" i="5"/>
  <c r="M34" i="5" s="1"/>
  <c r="L33" i="5"/>
  <c r="J33" i="5"/>
  <c r="L32" i="5"/>
  <c r="J32" i="5"/>
  <c r="L31" i="5"/>
  <c r="J31" i="5"/>
  <c r="L28" i="5"/>
  <c r="M28" i="5" s="1"/>
  <c r="L27" i="5"/>
  <c r="M27" i="5" s="1"/>
  <c r="J27" i="5"/>
  <c r="L26" i="5"/>
  <c r="J26" i="5"/>
  <c r="M26" i="5" s="1"/>
  <c r="L25" i="5"/>
  <c r="F176" i="1"/>
  <c r="F177" i="1"/>
  <c r="F178" i="1"/>
  <c r="F179" i="1"/>
  <c r="F180" i="1"/>
  <c r="F181" i="1"/>
  <c r="F182" i="1"/>
  <c r="F175" i="1"/>
  <c r="F76" i="1"/>
  <c r="F77" i="1"/>
  <c r="F78" i="1"/>
  <c r="F79" i="1"/>
  <c r="F80" i="1"/>
  <c r="F81" i="1"/>
  <c r="F82" i="1"/>
  <c r="F75" i="1"/>
  <c r="F101" i="1"/>
  <c r="F102" i="1"/>
  <c r="F103" i="1"/>
  <c r="F104" i="1"/>
  <c r="F105" i="1"/>
  <c r="F106" i="1"/>
  <c r="F107" i="1"/>
  <c r="F100" i="1"/>
  <c r="F151" i="1"/>
  <c r="F152" i="1"/>
  <c r="F153" i="1"/>
  <c r="F154" i="1"/>
  <c r="F155" i="1"/>
  <c r="F156" i="1"/>
  <c r="F157" i="1"/>
  <c r="F150" i="1"/>
  <c r="J25" i="5"/>
  <c r="L22" i="5"/>
  <c r="M22" i="5" s="1"/>
  <c r="J22" i="5"/>
  <c r="L21" i="5"/>
  <c r="M21" i="5" s="1"/>
  <c r="J21" i="5"/>
  <c r="L20" i="5"/>
  <c r="J20" i="5"/>
  <c r="L19" i="5"/>
  <c r="M19" i="5" s="1"/>
  <c r="J19" i="5"/>
  <c r="O31" i="2"/>
  <c r="J45" i="2"/>
  <c r="L18" i="5"/>
  <c r="M18" i="5" s="1"/>
  <c r="J18" i="5"/>
  <c r="L17" i="5"/>
  <c r="M17" i="5" s="1"/>
  <c r="J17" i="5"/>
  <c r="L16" i="5"/>
  <c r="J16" i="5"/>
  <c r="L13" i="5"/>
  <c r="M13" i="5" s="1"/>
  <c r="J13" i="5"/>
  <c r="L12" i="5"/>
  <c r="M12" i="5" s="1"/>
  <c r="J12" i="5"/>
  <c r="L11" i="5"/>
  <c r="J11" i="5"/>
  <c r="O44" i="2"/>
  <c r="L10" i="5"/>
  <c r="M10" i="5" s="1"/>
  <c r="J10" i="5"/>
  <c r="L9" i="5"/>
  <c r="J9" i="5"/>
  <c r="J5" i="5"/>
  <c r="M5" i="5" s="1"/>
  <c r="J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6" i="5"/>
  <c r="M6" i="5" s="1"/>
  <c r="J38" i="2"/>
  <c r="J37" i="2"/>
  <c r="J31" i="2"/>
  <c r="J29" i="2"/>
  <c r="J26" i="2"/>
  <c r="J21" i="2"/>
  <c r="J18" i="2"/>
  <c r="J20" i="2"/>
  <c r="J19" i="2"/>
  <c r="A45" i="5"/>
  <c r="M32" i="5" l="1"/>
  <c r="M11" i="5"/>
  <c r="M20" i="5"/>
  <c r="M16" i="5"/>
  <c r="M25" i="5"/>
  <c r="M29" i="5" s="1"/>
  <c r="M31" i="5"/>
  <c r="M33" i="5"/>
  <c r="M37" i="5"/>
  <c r="M41" i="5" s="1"/>
  <c r="M9" i="5"/>
  <c r="M14" i="5" s="1"/>
  <c r="M7" i="5"/>
  <c r="J14" i="2"/>
  <c r="E18" i="2"/>
  <c r="O18" i="2" s="1"/>
  <c r="P18" i="2" s="1"/>
  <c r="E19" i="2"/>
  <c r="J66" i="2"/>
  <c r="J65" i="2"/>
  <c r="J62" i="2"/>
  <c r="J61" i="2"/>
  <c r="J60" i="2"/>
  <c r="J59" i="2"/>
  <c r="J58" i="2"/>
  <c r="J57" i="2"/>
  <c r="J56" i="2"/>
  <c r="J53" i="2"/>
  <c r="J52" i="2"/>
  <c r="J51" i="2"/>
  <c r="J50" i="2"/>
  <c r="J49" i="2"/>
  <c r="J46" i="2"/>
  <c r="J44" i="2"/>
  <c r="J41" i="2"/>
  <c r="J40" i="2"/>
  <c r="J39" i="2"/>
  <c r="J33" i="2"/>
  <c r="J32" i="2"/>
  <c r="J30" i="2"/>
  <c r="J25" i="2"/>
  <c r="J24" i="2"/>
  <c r="M66" i="2"/>
  <c r="M65" i="2"/>
  <c r="M62" i="2"/>
  <c r="M61" i="2"/>
  <c r="M60" i="2"/>
  <c r="M59" i="2"/>
  <c r="M58" i="2"/>
  <c r="M57" i="2"/>
  <c r="M56" i="2"/>
  <c r="M53" i="2"/>
  <c r="M52" i="2"/>
  <c r="M51" i="2"/>
  <c r="M50" i="2"/>
  <c r="M49" i="2"/>
  <c r="M46" i="2"/>
  <c r="M45" i="2"/>
  <c r="M44" i="2"/>
  <c r="M41" i="2"/>
  <c r="K40" i="2"/>
  <c r="M40" i="2" s="1"/>
  <c r="K39" i="2"/>
  <c r="M39" i="2" s="1"/>
  <c r="M38" i="2"/>
  <c r="M37" i="2"/>
  <c r="M36" i="2"/>
  <c r="M33" i="2"/>
  <c r="K32" i="2"/>
  <c r="M32" i="2" s="1"/>
  <c r="M31" i="2"/>
  <c r="M30" i="2"/>
  <c r="M29" i="2"/>
  <c r="M26" i="2"/>
  <c r="M25" i="2"/>
  <c r="M24" i="2"/>
  <c r="M21" i="2"/>
  <c r="M20" i="2"/>
  <c r="M19" i="2"/>
  <c r="M15" i="2"/>
  <c r="M14" i="2"/>
  <c r="P9" i="2"/>
  <c r="M35" i="5" l="1"/>
  <c r="M42" i="5" s="1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O66" i="2" s="1"/>
  <c r="P66" i="2" s="1"/>
  <c r="E65" i="2"/>
  <c r="O65" i="2" s="1"/>
  <c r="P65" i="2" s="1"/>
  <c r="P67" i="2" s="1"/>
  <c r="E64" i="2"/>
  <c r="E63" i="2"/>
  <c r="E62" i="2"/>
  <c r="O62" i="2" s="1"/>
  <c r="P62" i="2" s="1"/>
  <c r="E61" i="2"/>
  <c r="O61" i="2" s="1"/>
  <c r="P61" i="2" s="1"/>
  <c r="E60" i="2"/>
  <c r="O60" i="2" s="1"/>
  <c r="P60" i="2" s="1"/>
  <c r="E59" i="2"/>
  <c r="O59" i="2" s="1"/>
  <c r="P59" i="2" s="1"/>
  <c r="E58" i="2"/>
  <c r="O58" i="2" s="1"/>
  <c r="P58" i="2" s="1"/>
  <c r="E57" i="2"/>
  <c r="O57" i="2" s="1"/>
  <c r="P57" i="2" s="1"/>
  <c r="E56" i="2"/>
  <c r="O56" i="2" s="1"/>
  <c r="P56" i="2" s="1"/>
  <c r="P63" i="2" s="1"/>
  <c r="E55" i="2"/>
  <c r="E54" i="2"/>
  <c r="E53" i="2"/>
  <c r="O53" i="2" s="1"/>
  <c r="P53" i="2" s="1"/>
  <c r="E52" i="2"/>
  <c r="O52" i="2" s="1"/>
  <c r="P52" i="2" s="1"/>
  <c r="E51" i="2"/>
  <c r="O51" i="2" s="1"/>
  <c r="P51" i="2" s="1"/>
  <c r="E50" i="2"/>
  <c r="O50" i="2" s="1"/>
  <c r="P50" i="2" s="1"/>
  <c r="E49" i="2"/>
  <c r="O49" i="2" s="1"/>
  <c r="P49" i="2" s="1"/>
  <c r="P54" i="2" s="1"/>
  <c r="E48" i="2"/>
  <c r="E47" i="2"/>
  <c r="E46" i="2"/>
  <c r="O46" i="2" s="1"/>
  <c r="P46" i="2" s="1"/>
  <c r="E45" i="2"/>
  <c r="O45" i="2" s="1"/>
  <c r="P45" i="2" s="1"/>
  <c r="E44" i="2"/>
  <c r="P44" i="2" s="1"/>
  <c r="E43" i="2"/>
  <c r="E42" i="2"/>
  <c r="E41" i="2"/>
  <c r="O41" i="2" s="1"/>
  <c r="P41" i="2" s="1"/>
  <c r="E40" i="2"/>
  <c r="O40" i="2" s="1"/>
  <c r="P40" i="2" s="1"/>
  <c r="E39" i="2"/>
  <c r="O39" i="2" s="1"/>
  <c r="P39" i="2" s="1"/>
  <c r="O38" i="2"/>
  <c r="P38" i="2" s="1"/>
  <c r="E37" i="2"/>
  <c r="O37" i="2" s="1"/>
  <c r="P37" i="2" s="1"/>
  <c r="P36" i="2"/>
  <c r="E35" i="2"/>
  <c r="E34" i="2"/>
  <c r="E33" i="2"/>
  <c r="O33" i="2" s="1"/>
  <c r="P33" i="2" s="1"/>
  <c r="E32" i="2"/>
  <c r="O32" i="2" s="1"/>
  <c r="P32" i="2" s="1"/>
  <c r="E31" i="2"/>
  <c r="P31" i="2" s="1"/>
  <c r="E30" i="2"/>
  <c r="O30" i="2" s="1"/>
  <c r="P30" i="2" s="1"/>
  <c r="E29" i="2"/>
  <c r="O29" i="2" s="1"/>
  <c r="P29" i="2" s="1"/>
  <c r="E28" i="2"/>
  <c r="E27" i="2"/>
  <c r="E26" i="2"/>
  <c r="O26" i="2" s="1"/>
  <c r="P26" i="2" s="1"/>
  <c r="E25" i="2"/>
  <c r="O25" i="2" s="1"/>
  <c r="P25" i="2" s="1"/>
  <c r="E24" i="2"/>
  <c r="O24" i="2" s="1"/>
  <c r="P24" i="2" s="1"/>
  <c r="E23" i="2"/>
  <c r="E22" i="2"/>
  <c r="E21" i="2"/>
  <c r="O21" i="2" s="1"/>
  <c r="P21" i="2" s="1"/>
  <c r="E20" i="2"/>
  <c r="O20" i="2" s="1"/>
  <c r="P20" i="2" s="1"/>
  <c r="O19" i="2"/>
  <c r="P19" i="2" s="1"/>
  <c r="E17" i="2"/>
  <c r="E15" i="2"/>
  <c r="O15" i="2" s="1"/>
  <c r="P15" i="2" s="1"/>
  <c r="E14" i="2"/>
  <c r="O14" i="2" s="1"/>
  <c r="P14" i="2" s="1"/>
  <c r="E13" i="2"/>
  <c r="E12" i="2"/>
  <c r="E11" i="2"/>
  <c r="E10" i="2"/>
  <c r="E9" i="2"/>
  <c r="E8" i="2"/>
  <c r="E7" i="2"/>
  <c r="E6" i="2"/>
  <c r="E5" i="2"/>
  <c r="E4" i="2"/>
  <c r="E3" i="2"/>
  <c r="E2" i="2"/>
  <c r="F116" i="1"/>
  <c r="F115" i="1"/>
  <c r="F114" i="1"/>
  <c r="F113" i="1"/>
  <c r="F112" i="1"/>
  <c r="F111" i="1"/>
  <c r="F110" i="1"/>
  <c r="F109" i="1"/>
  <c r="F108" i="1"/>
  <c r="M43" i="5" l="1"/>
  <c r="M44" i="5" s="1"/>
  <c r="P47" i="2"/>
  <c r="P42" i="2"/>
  <c r="P34" i="2"/>
  <c r="P27" i="2"/>
  <c r="P22" i="2"/>
  <c r="P16" i="2"/>
  <c r="P68" i="2" l="1"/>
  <c r="P69" i="2" s="1"/>
  <c r="P70" i="2" s="1"/>
</calcChain>
</file>

<file path=xl/sharedStrings.xml><?xml version="1.0" encoding="utf-8"?>
<sst xmlns="http://schemas.openxmlformats.org/spreadsheetml/2006/main" count="2823" uniqueCount="645">
  <si>
    <t>Item</t>
  </si>
  <si>
    <t>Carcass</t>
  </si>
  <si>
    <t>Shutter</t>
  </si>
  <si>
    <t>Finish</t>
  </si>
  <si>
    <t>Other</t>
  </si>
  <si>
    <t>Price</t>
  </si>
  <si>
    <t>Hardware</t>
  </si>
  <si>
    <t>AREA</t>
  </si>
  <si>
    <t>Base Unit</t>
  </si>
  <si>
    <t>BWP Ply</t>
  </si>
  <si>
    <t>HDHMR</t>
  </si>
  <si>
    <t>Laminate</t>
  </si>
  <si>
    <t>Acrylic For 2mm</t>
  </si>
  <si>
    <t>Rehau Crystal Décor Acrylic</t>
  </si>
  <si>
    <t>PU Finish</t>
  </si>
  <si>
    <t>Duco Finish</t>
  </si>
  <si>
    <t>Veneer with Melamine Polish</t>
  </si>
  <si>
    <t>Membrane ( French )</t>
  </si>
  <si>
    <t>Tinted Glass</t>
  </si>
  <si>
    <t>Lacquer Glass</t>
  </si>
  <si>
    <t>Mirror</t>
  </si>
  <si>
    <t>Stone Laminate ( Dekton 6mm)</t>
  </si>
  <si>
    <t>BWR Ply</t>
  </si>
  <si>
    <t>Wall Unit</t>
  </si>
  <si>
    <t>Aluminium</t>
  </si>
  <si>
    <t>Loft</t>
  </si>
  <si>
    <t>Wodrobe</t>
  </si>
  <si>
    <t>MR Ply</t>
  </si>
  <si>
    <t>Laminate SUEDO FINISH</t>
  </si>
  <si>
    <t>Laminate ( HG, TXT, BM, Ratten)</t>
  </si>
  <si>
    <t>Rehau 2mm Acrylic</t>
  </si>
  <si>
    <t>PU Finish AP</t>
  </si>
  <si>
    <t>Aluminum Profile</t>
  </si>
  <si>
    <t>Laminate Infill</t>
  </si>
  <si>
    <t>Acrylic Infill</t>
  </si>
  <si>
    <t>Dual Finish Infill (Laminate+Glass)</t>
  </si>
  <si>
    <t>SLIDING SYSTEM HAFELE</t>
  </si>
  <si>
    <t>2 DOORS</t>
  </si>
  <si>
    <t>3 DOORS</t>
  </si>
  <si>
    <t>SLIDE &amp; FOLD HAFELE</t>
  </si>
  <si>
    <t>4 DOORS</t>
  </si>
  <si>
    <t>SLIDE &amp; CONCEAL HAFELE</t>
  </si>
  <si>
    <t>5DOORS</t>
  </si>
  <si>
    <t>OPEN SHELVES HAFELE</t>
  </si>
  <si>
    <t>Powder coated Aluminum</t>
  </si>
  <si>
    <t>RAUMPLUS WALKIN WR</t>
  </si>
  <si>
    <t>TURNKEY</t>
  </si>
  <si>
    <t>RAUMPLUS SKELETON</t>
  </si>
  <si>
    <t>RAUMPLUS SYNCHRO</t>
  </si>
  <si>
    <t>ENTRY 2+2 Doors</t>
  </si>
  <si>
    <t>Comm Ply</t>
  </si>
  <si>
    <t>PLPB Century</t>
  </si>
  <si>
    <t>PLPB Egger</t>
  </si>
  <si>
    <t>Wall Panel</t>
  </si>
  <si>
    <t>Acrylic</t>
  </si>
  <si>
    <t>French Mould + PU</t>
  </si>
  <si>
    <t>Veneer</t>
  </si>
  <si>
    <t>Stone Laminate</t>
  </si>
  <si>
    <t>CNC, ART Work with PU</t>
  </si>
  <si>
    <t>WALLPAPER</t>
  </si>
  <si>
    <t>Veneer + Laminate</t>
  </si>
  <si>
    <t>Acoustic Panels</t>
  </si>
  <si>
    <t>Knauf Danoline</t>
  </si>
  <si>
    <t>With LED MIRROR</t>
  </si>
  <si>
    <t>FOR DRESSER UNIT</t>
  </si>
  <si>
    <t>BACK LIGHT MIRROR</t>
  </si>
  <si>
    <t>Wall Paper</t>
  </si>
  <si>
    <t>Ddecor</t>
  </si>
  <si>
    <t>Shower Partition</t>
  </si>
  <si>
    <t>SLIDING Door</t>
  </si>
  <si>
    <t>10MM THICKNESS</t>
  </si>
  <si>
    <t>Openable Door, OZONE Hardwares,
Saint Gobain 10MM TGH,      
With Anodized Aluminum Frame Hafele.</t>
  </si>
  <si>
    <t xml:space="preserve">Partition Half Glass </t>
  </si>
  <si>
    <t>Bedside Table</t>
  </si>
  <si>
    <t>Laminate Finish</t>
  </si>
  <si>
    <t>Veneer Finish</t>
  </si>
  <si>
    <t>Veneer Finish with quartz counter top</t>
  </si>
  <si>
    <t>Veneer Finish with glass counter top</t>
  </si>
  <si>
    <t>With PVD Coating Legs</t>
  </si>
  <si>
    <t>(1000+Material selected)</t>
  </si>
  <si>
    <t>Dressing</t>
  </si>
  <si>
    <t>Cabinet With Glass Countertop</t>
  </si>
  <si>
    <t>Cosmetics Organisers</t>
  </si>
  <si>
    <t>FOR 900mm</t>
  </si>
  <si>
    <t>FOR 1200mm</t>
  </si>
  <si>
    <t>Puff Chair</t>
  </si>
  <si>
    <t>450MM Dia</t>
  </si>
  <si>
    <t>Bedroom - Furnishing</t>
  </si>
  <si>
    <t>HEAD BOARD CUSHION</t>
  </si>
  <si>
    <t>Dedecor Material</t>
  </si>
  <si>
    <t>OTTOMAN</t>
  </si>
  <si>
    <t>PU Leather</t>
  </si>
  <si>
    <t>Tata Leather</t>
  </si>
  <si>
    <t>Fabric</t>
  </si>
  <si>
    <t>Items</t>
  </si>
  <si>
    <t>CAR_1 (Base Unit)</t>
  </si>
  <si>
    <t>CAR_2 (Wall Unit)</t>
  </si>
  <si>
    <t>CAR_3 (Loft)</t>
  </si>
  <si>
    <t>CAR_4 (Wodrobe)</t>
  </si>
  <si>
    <t>CAR_5 (Wall Panel)</t>
  </si>
  <si>
    <t>CAR_6 (Shower Partition)</t>
  </si>
  <si>
    <t>CAR_7 (Bedside Table)</t>
  </si>
  <si>
    <t>CAR_8 (Dressing)</t>
  </si>
  <si>
    <t>CAR_9 (Bedroom - Furnishing)</t>
  </si>
  <si>
    <t>PairKeys</t>
  </si>
  <si>
    <t>SHU_1 (Base Unit|BWP Ply)</t>
  </si>
  <si>
    <t>SHU_2 (Base Unit|BWR Ply)</t>
  </si>
  <si>
    <t>SHU_3 (Wall Unit|BWP Ply)</t>
  </si>
  <si>
    <t>SHU_4 (Wall Unit|BWR Ply)</t>
  </si>
  <si>
    <t>SHU_5 (Loft|BWR Ply)</t>
  </si>
  <si>
    <t>SHU_6 (Wodrobe|MR Ply)</t>
  </si>
  <si>
    <t>SHU_7 (Wodrobe|Comm Ply)</t>
  </si>
  <si>
    <t>SHU_8 (Wodrobe|BWR Ply)</t>
  </si>
  <si>
    <t>SHU_9 (Wodrobe|PLPB Century)</t>
  </si>
  <si>
    <t>SHU_10 (Wodrobe|PLPB Egger)</t>
  </si>
  <si>
    <t>SHU_11 (Loft|MR Ply)</t>
  </si>
  <si>
    <t>SHU_12 (Wall Panel|Comm Ply)</t>
  </si>
  <si>
    <t>SHU_13 (Wall Panel|HDHMR)</t>
  </si>
  <si>
    <t>SHU_14 (Wall Panel|Acoustic Panels)</t>
  </si>
  <si>
    <t>SHU_15 (Wall Panel|With LED MIRROR)</t>
  </si>
  <si>
    <t>SHU_16 (Wall Panel|BACK LIGHT MIRROR)</t>
  </si>
  <si>
    <t>SHU_17 (Wall Panel|Wall Paper)</t>
  </si>
  <si>
    <t>SHU_18 (Shower Partition|SLIDING Door)</t>
  </si>
  <si>
    <t>SHU_19 (Shower Partition|Openable Door, OZONE Hardwares,
Saint Gobain 10MM TGH,      
With Anodized Aluminum Frame Hafele.)</t>
  </si>
  <si>
    <t>SHU_20 (Shower Partition|Partition Half Glass)</t>
  </si>
  <si>
    <t>SHU_21 (Bedside Table|Laminate Finish)</t>
  </si>
  <si>
    <t>SHU_22 (Bedside Table|Veneer Finish)</t>
  </si>
  <si>
    <t>SHU_23 (Bedside Table|Veneer Finish with quartz counter top)</t>
  </si>
  <si>
    <t>SHU_24 (Bedside Table|Veneer Finish with glass counter top)</t>
  </si>
  <si>
    <t>SHU_25 (Bedside Table|With PVD Coating Legs)</t>
  </si>
  <si>
    <t>SHU_26 (Dressing|Cabinet With Glass Countertop)</t>
  </si>
  <si>
    <t>SHU_27 (Dressing|Cosmetics Organisers)</t>
  </si>
  <si>
    <t>SHU_28 (Dressing|Puff Chair)</t>
  </si>
  <si>
    <t>SHU_29 (Dressing|-)</t>
  </si>
  <si>
    <t>SHU_30 (Bedroom - Furnishing|HEAD BOARD CUSHION)</t>
  </si>
  <si>
    <t>SHU_31 (Bedroom - Furnishing|OTTOMAN)</t>
  </si>
  <si>
    <t>SHU_32 (Bedroom - Furnishing|-)</t>
  </si>
  <si>
    <t>TripleKeys</t>
  </si>
  <si>
    <t>FIN_1 (Base Unit|BWP Ply|HDHMR)</t>
  </si>
  <si>
    <t>FIN_2 (Base Unit|BWR Ply|HDHMR)</t>
  </si>
  <si>
    <t>FIN_3 (Wall Unit|BWP Ply|HDHMR)</t>
  </si>
  <si>
    <t>FIN_4 (Wall Unit|BWP Ply|Aluminium)</t>
  </si>
  <si>
    <t>FIN_5 (Wall Unit|BWR Ply|HDHMR)</t>
  </si>
  <si>
    <t>FIN_6 (Wall Unit|BWR Ply|Aluminium)</t>
  </si>
  <si>
    <t>FIN_7 (Loft|BWR Ply|HDHMR)</t>
  </si>
  <si>
    <t>FIN_8 (Wodrobe|MR Ply|HDHMR)</t>
  </si>
  <si>
    <t>FIN_9 (Wodrobe|MR Ply|Aluminum Profile)</t>
  </si>
  <si>
    <t>FIN_10 (Wodrobe|MR Ply|SLIDING SYSTEM HAFELE)</t>
  </si>
  <si>
    <t>FIN_11 (Wodrobe|MR Ply|SLIDE &amp; FOLD HAFELE)</t>
  </si>
  <si>
    <t>FIN_12 (Wodrobe|MR Ply|SLIDE &amp; CONCEAL HAFELE)</t>
  </si>
  <si>
    <t>FIN_13 (Wodrobe|MR Ply|OPEN SHELVES HAFELE)</t>
  </si>
  <si>
    <t>FIN_14 (Wodrobe|MR Ply|RAUMPLUS WALKIN WR)</t>
  </si>
  <si>
    <t>FIN_15 (Wodrobe|MR Ply|RAUMPLUS SKELETON)</t>
  </si>
  <si>
    <t>FIN_16 (Wodrobe|MR Ply|RAUMPLUS SYNCHRO)</t>
  </si>
  <si>
    <t>FIN_17 (Wodrobe|Comm Ply|HDHMR)</t>
  </si>
  <si>
    <t>FIN_18 (Wodrobe|Comm Ply|Aluminum Profile)</t>
  </si>
  <si>
    <t>FIN_19 (Wodrobe|Comm Ply|SLIDING SYSTEM HAFELE)</t>
  </si>
  <si>
    <t>FIN_20 (Wodrobe|Comm Ply|SLIDE &amp; FOLD HAFELE)</t>
  </si>
  <si>
    <t>FIN_21 (Wodrobe|Comm Ply|SLIDE &amp; CONCEAL HAFELE)</t>
  </si>
  <si>
    <t>FIN_22 (Wodrobe|Comm Ply|OPEN SHELVES HAFELE)</t>
  </si>
  <si>
    <t>FIN_23 (Wodrobe|Comm Ply|RAUMPLUS WALKIN WR)</t>
  </si>
  <si>
    <t>FIN_24 (Wodrobe|Comm Ply|RAUMPLUS SKELETON)</t>
  </si>
  <si>
    <t>FIN_25 (Wodrobe|Comm Ply|RAUMPLUS SYNCHRO)</t>
  </si>
  <si>
    <t>FIN_26 (Wodrobe|BWR Ply|HDHMR)</t>
  </si>
  <si>
    <t>FIN_27 (Wodrobe|BWR Ply|Aluminum Profile)</t>
  </si>
  <si>
    <t>FIN_28 (Wodrobe|BWR Ply|SLIDING SYSTEM HAFELE)</t>
  </si>
  <si>
    <t>FIN_29 (Wodrobe|BWR Ply|SLIDE &amp; FOLD HAFELE)</t>
  </si>
  <si>
    <t>FIN_30 (Wodrobe|BWR Ply|SLIDE &amp; CONCEAL HAFELE)</t>
  </si>
  <si>
    <t>FIN_31 (Wodrobe|BWR Ply|OPEN SHELVES HAFELE)</t>
  </si>
  <si>
    <t>FIN_32 (Wodrobe|BWR Ply|RAUMPLUS WALKIN WR)</t>
  </si>
  <si>
    <t>FIN_33 (Wodrobe|BWR Ply|RAUMPLUS SKELETON)</t>
  </si>
  <si>
    <t>FIN_34 (Wodrobe|BWR Ply|RAUMPLUS SYNCHRO)</t>
  </si>
  <si>
    <t>FIN_35 (Wodrobe|PLPB Century|HDHMR)</t>
  </si>
  <si>
    <t>FIN_36 (Wodrobe|PLPB Century|Aluminum Profile)</t>
  </si>
  <si>
    <t>FIN_37 (Wodrobe|PLPB Century|SLIDING SYSTEM HAFELE)</t>
  </si>
  <si>
    <t>FIN_38 (Wodrobe|PLPB Century|SLIDE &amp; FOLD HAFELE)</t>
  </si>
  <si>
    <t>FIN_39 (Wodrobe|PLPB Century|SLIDE &amp; CONCEAL HAFELE)</t>
  </si>
  <si>
    <t>FIN_40 (Wodrobe|PLPB Century|OPEN SHELVES HAFELE)</t>
  </si>
  <si>
    <t>FIN_41 (Wodrobe|PLPB Century|RAUMPLUS WALKIN WR)</t>
  </si>
  <si>
    <t>FIN_42 (Wodrobe|PLPB Century|RAUMPLUS SKELETON)</t>
  </si>
  <si>
    <t>FIN_43 (Wodrobe|PLPB Century|RAUMPLUS SYNCHRO)</t>
  </si>
  <si>
    <t>FIN_44 (Wodrobe|PLPB Egger|HDHMR)</t>
  </si>
  <si>
    <t>FIN_45 (Wodrobe|PLPB Egger|Aluminum Profile)</t>
  </si>
  <si>
    <t>FIN_46 (Wodrobe|PLPB Egger|SLIDING SYSTEM HAFELE)</t>
  </si>
  <si>
    <t>FIN_47 (Wodrobe|PLPB Egger|SLIDE &amp; FOLD HAFELE)</t>
  </si>
  <si>
    <t>FIN_48 (Wodrobe|PLPB Egger|SLIDE &amp; CONCEAL HAFELE)</t>
  </si>
  <si>
    <t>FIN_49 (Wodrobe|PLPB Egger|OPEN SHELVES HAFELE)</t>
  </si>
  <si>
    <t>FIN_50 (Wodrobe|PLPB Egger|RAUMPLUS WALKIN WR)</t>
  </si>
  <si>
    <t>FIN_51 (Wodrobe|PLPB Egger|RAUMPLUS SKELETON)</t>
  </si>
  <si>
    <t>FIN_52 (Wodrobe|PLPB Egger|RAUMPLUS SYNCHRO)</t>
  </si>
  <si>
    <t>FIN_53 (Loft|MR Ply|HDHMR)</t>
  </si>
  <si>
    <t>FIN_54 (Loft|MR Ply|Aluminum Profile)</t>
  </si>
  <si>
    <t>FIN_55 (Wall Panel|Comm Ply|-)</t>
  </si>
  <si>
    <t>FIN_56 (Wall Panel|HDHMR|-)</t>
  </si>
  <si>
    <t>FIN_57 (Wall Panel|Acoustic Panels|-)</t>
  </si>
  <si>
    <t>FIN_58 (Wall Panel|With LED MIRROR|-)</t>
  </si>
  <si>
    <t>FIN_59 (Wall Panel|BACK LIGHT MIRROR|-)</t>
  </si>
  <si>
    <t>FIN_60 (Wall Panel|Wall Paper|-)</t>
  </si>
  <si>
    <t>FIN_61 (Shower Partition|SLIDING Door|-)</t>
  </si>
  <si>
    <t>FIN_62 (Shower Partition|Openable Door, OZONE Hardwares,
Saint Gobain 10MM TGH,      
With Anodized Aluminum Frame Hafele.|-)</t>
  </si>
  <si>
    <t>FIN_63 (Shower Partition|Partition Half Glass|-)</t>
  </si>
  <si>
    <t>FIN_64 (Bedside Table|Laminate Finish|-)</t>
  </si>
  <si>
    <t>FIN_65 (Bedside Table|Veneer Finish|-)</t>
  </si>
  <si>
    <t>FIN_66 (Bedside Table|Veneer Finish with quartz counter top|-)</t>
  </si>
  <si>
    <t>FIN_67 (Bedside Table|Veneer Finish with glass counter top|-)</t>
  </si>
  <si>
    <t>FIN_68 (Bedside Table|With PVD Coating Legs|-)</t>
  </si>
  <si>
    <t>FIN_69 (Dressing|Cabinet With Glass Countertop|-)</t>
  </si>
  <si>
    <t>FIN_70 (Dressing|Cosmetics Organisers|-)</t>
  </si>
  <si>
    <t>FIN_71 (Dressing|Puff Chair|-)</t>
  </si>
  <si>
    <t>FIN_72 (Dressing|-|-)</t>
  </si>
  <si>
    <t>FIN_73 (Bedroom - Furnishing|HEAD BOARD CUSHION|-)</t>
  </si>
  <si>
    <t>FIN_74 (Bedroom - Furnishing|OTTOMAN|-)</t>
  </si>
  <si>
    <t>FIN_75 (Bedroom - Furnishing|-|-)</t>
  </si>
  <si>
    <t>Base Unit|BWP Ply</t>
  </si>
  <si>
    <t>-</t>
  </si>
  <si>
    <t>Base Unit|BWP Ply|HDHMR</t>
  </si>
  <si>
    <t>Base Unit|BWR Ply</t>
  </si>
  <si>
    <t>Base Unit|BWR Ply|HDHMR</t>
  </si>
  <si>
    <t>Partition Half Glass</t>
  </si>
  <si>
    <t>Wall Unit|BWP Ply</t>
  </si>
  <si>
    <t>Wall Unit|BWP Ply|HDHMR</t>
  </si>
  <si>
    <t>Wall Unit|BWR Ply</t>
  </si>
  <si>
    <t>Wall Unit|BWP Ply|Aluminium</t>
  </si>
  <si>
    <t>Loft|BWR Ply</t>
  </si>
  <si>
    <t>Wall Unit|BWR Ply|HDHMR</t>
  </si>
  <si>
    <t>Wodrobe|MR Ply</t>
  </si>
  <si>
    <t>Wall Unit|BWR Ply|Aluminium</t>
  </si>
  <si>
    <t>Wodrobe|Comm Ply</t>
  </si>
  <si>
    <t>Loft|BWR Ply|HDHMR</t>
  </si>
  <si>
    <t>Wodrobe|BWR Ply</t>
  </si>
  <si>
    <t>Wodrobe|MR Ply|HDHMR</t>
  </si>
  <si>
    <t>Wodrobe|PLPB Century</t>
  </si>
  <si>
    <t>Wodrobe|MR Ply|Aluminum Profile</t>
  </si>
  <si>
    <t>Wodrobe|PLPB Egger</t>
  </si>
  <si>
    <t>Wodrobe|MR Ply|SLIDING SYSTEM HAFELE</t>
  </si>
  <si>
    <t>Loft|MR Ply</t>
  </si>
  <si>
    <t>Wodrobe|MR Ply|SLIDE &amp; FOLD HAFELE</t>
  </si>
  <si>
    <t>Wall Panel|Comm Ply</t>
  </si>
  <si>
    <t>Wodrobe|MR Ply|SLIDE &amp; CONCEAL HAFELE</t>
  </si>
  <si>
    <t>Wall Panel|HDHMR</t>
  </si>
  <si>
    <t>Wodrobe|MR Ply|OPEN SHELVES HAFELE</t>
  </si>
  <si>
    <t>Wall Panel|Acoustic Panels</t>
  </si>
  <si>
    <t>Wodrobe|MR Ply|RAUMPLUS WALKIN WR</t>
  </si>
  <si>
    <t>Wall Panel|With LED MIRROR</t>
  </si>
  <si>
    <t>Wodrobe|MR Ply|RAUMPLUS SKELETON</t>
  </si>
  <si>
    <t>Wall Panel|BACK LIGHT MIRROR</t>
  </si>
  <si>
    <t>Wodrobe|MR Ply|RAUMPLUS SYNCHRO</t>
  </si>
  <si>
    <t>Wall Panel|Wall Paper</t>
  </si>
  <si>
    <t>Wodrobe|Comm Ply|HDHMR</t>
  </si>
  <si>
    <t>Shower Partition|SLIDING Door</t>
  </si>
  <si>
    <t>Wodrobe|Comm Ply|Aluminum Profile</t>
  </si>
  <si>
    <t>Shower Partition|Openable Door, OZONE Hardwares,
Saint Gobain 10MM TGH,      
With Anodized Aluminum Frame Hafele.</t>
  </si>
  <si>
    <t>Wodrobe|Comm Ply|SLIDING SYSTEM HAFELE</t>
  </si>
  <si>
    <t>Shower Partition|Partition Half Glass</t>
  </si>
  <si>
    <t>Wodrobe|Comm Ply|SLIDE &amp; FOLD HAFELE</t>
  </si>
  <si>
    <t>Bedside Table|Laminate Finish</t>
  </si>
  <si>
    <t>Wodrobe|Comm Ply|SLIDE &amp; CONCEAL HAFELE</t>
  </si>
  <si>
    <t>Bedside Table|Veneer Finish</t>
  </si>
  <si>
    <t>Wodrobe|Comm Ply|OPEN SHELVES HAFELE</t>
  </si>
  <si>
    <t>Bedside Table|Veneer Finish with quartz counter top</t>
  </si>
  <si>
    <t>Wodrobe|Comm Ply|RAUMPLUS WALKIN WR</t>
  </si>
  <si>
    <t>Bedside Table|Veneer Finish with glass counter top</t>
  </si>
  <si>
    <t>Wodrobe|Comm Ply|RAUMPLUS SKELETON</t>
  </si>
  <si>
    <t>Bedside Table|With PVD Coating Legs</t>
  </si>
  <si>
    <t>Wodrobe|Comm Ply|RAUMPLUS SYNCHRO</t>
  </si>
  <si>
    <t>Dressing|Cabinet With Glass Countertop</t>
  </si>
  <si>
    <t>Wodrobe|BWR Ply|HDHMR</t>
  </si>
  <si>
    <t>Dressing|Cosmetics Organisers</t>
  </si>
  <si>
    <t>Wodrobe|BWR Ply|Aluminum Profile</t>
  </si>
  <si>
    <t>Dressing|Puff Chair</t>
  </si>
  <si>
    <t>Wodrobe|BWR Ply|SLIDING SYSTEM HAFELE</t>
  </si>
  <si>
    <t>Dressing|-</t>
  </si>
  <si>
    <t>Wodrobe|BWR Ply|SLIDE &amp; FOLD HAFELE</t>
  </si>
  <si>
    <t>Bedroom - Furnishing|HEAD BOARD CUSHION</t>
  </si>
  <si>
    <t>Wodrobe|BWR Ply|SLIDE &amp; CONCEAL HAFELE</t>
  </si>
  <si>
    <t>Bedroom - Furnishing|OTTOMAN</t>
  </si>
  <si>
    <t>Wodrobe|BWR Ply|OPEN SHELVES HAFELE</t>
  </si>
  <si>
    <t>Bedroom - Furnishing|-</t>
  </si>
  <si>
    <t>Wodrobe|BWR Ply|RAUMPLUS WALKIN WR</t>
  </si>
  <si>
    <t>Wodrobe|BWR Ply|RAUMPLUS SKELETON</t>
  </si>
  <si>
    <t>Wodrobe|BWR Ply|RAUMPLUS SYNCHRO</t>
  </si>
  <si>
    <t>Wodrobe|PLPB Century|HDHMR</t>
  </si>
  <si>
    <t>Wodrobe|PLPB Century|Aluminum Profile</t>
  </si>
  <si>
    <t>Wodrobe|PLPB Century|SLIDING SYSTEM HAFELE</t>
  </si>
  <si>
    <t>Wodrobe|PLPB Century|SLIDE &amp; FOLD HAFELE</t>
  </si>
  <si>
    <t>Wodrobe|PLPB Century|SLIDE &amp; CONCEAL HAFELE</t>
  </si>
  <si>
    <t>Wodrobe|PLPB Century|OPEN SHELVES HAFELE</t>
  </si>
  <si>
    <t>Wodrobe|PLPB Century|RAUMPLUS WALKIN WR</t>
  </si>
  <si>
    <t>Wodrobe|PLPB Century|RAUMPLUS SKELETON</t>
  </si>
  <si>
    <t>Wodrobe|PLPB Century|RAUMPLUS SYNCHRO</t>
  </si>
  <si>
    <t>Wodrobe|PLPB Egger|HDHMR</t>
  </si>
  <si>
    <t>Wodrobe|PLPB Egger|Aluminum Profile</t>
  </si>
  <si>
    <t>Wodrobe|PLPB Egger|SLIDING SYSTEM HAFELE</t>
  </si>
  <si>
    <t>Wodrobe|PLPB Egger|SLIDE &amp; FOLD HAFELE</t>
  </si>
  <si>
    <t>Wodrobe|PLPB Egger|SLIDE &amp; CONCEAL HAFELE</t>
  </si>
  <si>
    <t>Wodrobe|PLPB Egger|OPEN SHELVES HAFELE</t>
  </si>
  <si>
    <t>Wodrobe|PLPB Egger|RAUMPLUS WALKIN WR</t>
  </si>
  <si>
    <t>Wodrobe|PLPB Egger|RAUMPLUS SKELETON</t>
  </si>
  <si>
    <t>Wodrobe|PLPB Egger|RAUMPLUS SYNCHRO</t>
  </si>
  <si>
    <t>Loft|MR Ply|HDHMR</t>
  </si>
  <si>
    <t>Loft|MR Ply|Aluminum Profile</t>
  </si>
  <si>
    <t>Wall Panel|Comm Ply|-</t>
  </si>
  <si>
    <t>Wall Panel|HDHMR|-</t>
  </si>
  <si>
    <t>Wall Panel|Acoustic Panels|-</t>
  </si>
  <si>
    <t>Wall Panel|With LED MIRROR|-</t>
  </si>
  <si>
    <t>Wall Panel|BACK LIGHT MIRROR|-</t>
  </si>
  <si>
    <t>Wall Panel|Wall Paper|-</t>
  </si>
  <si>
    <t>Shower Partition|SLIDING Door|-</t>
  </si>
  <si>
    <t>Shower Partition|Openable Door, OZONE Hardwares,
Saint Gobain 10MM TGH,      
With Anodized Aluminum Frame Hafele.|-</t>
  </si>
  <si>
    <t>Shower Partition|Partition Half Glass|-</t>
  </si>
  <si>
    <t>Bedside Table|Laminate Finish|-</t>
  </si>
  <si>
    <t>Bedside Table|Veneer Finish|-</t>
  </si>
  <si>
    <t>Bedside Table|Veneer Finish with quartz counter top|-</t>
  </si>
  <si>
    <t>Bedside Table|Veneer Finish with glass counter top|-</t>
  </si>
  <si>
    <t>Bedside Table|With PVD Coating Legs|-</t>
  </si>
  <si>
    <t>Dressing|Cabinet With Glass Countertop|-</t>
  </si>
  <si>
    <t>Dressing|Cosmetics Organisers|-</t>
  </si>
  <si>
    <t>Dressing|Puff Chair|-</t>
  </si>
  <si>
    <t>Dressing|-|-</t>
  </si>
  <si>
    <t>Bedroom - Furnishing|HEAD BOARD CUSHION|-</t>
  </si>
  <si>
    <t>Bedroom - Furnishing|OTTOMAN|-</t>
  </si>
  <si>
    <t>Bedroom - Furnishing|-|-</t>
  </si>
  <si>
    <t>PriceDisplay</t>
  </si>
  <si>
    <t>Key</t>
  </si>
  <si>
    <t>Base Unit|BWP Ply|HDHMR|Laminate</t>
  </si>
  <si>
    <t>Base Unit|BWP Ply|HDHMR|Acrylic For 2mm</t>
  </si>
  <si>
    <t>Base Unit|BWP Ply|HDHMR|Rehau Crystal Décor Acrylic</t>
  </si>
  <si>
    <t>Base Unit|BWP Ply|HDHMR|PU Finish</t>
  </si>
  <si>
    <t>Base Unit|BWP Ply|HDHMR|Duco Finish</t>
  </si>
  <si>
    <t>Base Unit|BWP Ply|HDHMR|Veneer with Melamine Polish</t>
  </si>
  <si>
    <t>Base Unit|BWP Ply|HDHMR|Membrane ( French )</t>
  </si>
  <si>
    <t>Base Unit|BWP Ply|HDHMR|Tinted Glass</t>
  </si>
  <si>
    <t>Base Unit|BWP Ply|HDHMR|Lacquer Glass</t>
  </si>
  <si>
    <t>Base Unit|BWP Ply|HDHMR|Mirror</t>
  </si>
  <si>
    <t>Base Unit|BWP Ply|HDHMR|Stone Laminate ( Dekton 6mm)</t>
  </si>
  <si>
    <t>Base Unit|BWR Ply|HDHMR|Laminate</t>
  </si>
  <si>
    <t>Base Unit|BWR Ply|HDHMR|Acrylic For 2mm</t>
  </si>
  <si>
    <t>Base Unit|BWR Ply|HDHMR|Rehau Crystal Décor Acrylic</t>
  </si>
  <si>
    <t>Base Unit|BWR Ply|HDHMR|PU Finish</t>
  </si>
  <si>
    <t>Base Unit|BWR Ply|HDHMR|Duco Finish</t>
  </si>
  <si>
    <t>Base Unit|BWR Ply|HDHMR|Veneer with Melamine Polish</t>
  </si>
  <si>
    <t>Base Unit|BWR Ply|HDHMR|Membrane ( French )</t>
  </si>
  <si>
    <t>Base Unit|BWR Ply|HDHMR|Tinted Glass</t>
  </si>
  <si>
    <t>Base Unit|BWR Ply|HDHMR|Lacquer Glass</t>
  </si>
  <si>
    <t>Base Unit|BWR Ply|HDHMR|Mirror</t>
  </si>
  <si>
    <t>Base Unit|BWR Ply|HDHMR|Stone Laminate ( Dekton 6mm)</t>
  </si>
  <si>
    <t>Wall Unit|BWP Ply|HDHMR|Laminate</t>
  </si>
  <si>
    <t>Wall Unit|BWP Ply|HDHMR|Acrylic For 2mm</t>
  </si>
  <si>
    <t>Wall Unit|BWP Ply|HDHMR|Rehau Crystal Décor Acrylic</t>
  </si>
  <si>
    <t>Wall Unit|BWP Ply|HDHMR|PU Finish</t>
  </si>
  <si>
    <t>Wall Unit|BWP Ply|HDHMR|Duco Finish</t>
  </si>
  <si>
    <t>Wall Unit|BWP Ply|HDHMR|Veneer with Melamine Polish</t>
  </si>
  <si>
    <t>Wall Unit|BWP Ply|HDHMR|Membrane ( French )</t>
  </si>
  <si>
    <t>Wall Unit|BWP Ply|HDHMR|Tinted Glass</t>
  </si>
  <si>
    <t>Wall Unit|BWP Ply|HDHMR|Lacquer Glass</t>
  </si>
  <si>
    <t>Wall Unit|BWP Ply|HDHMR|Mirror</t>
  </si>
  <si>
    <t>Wall Unit|BWP Ply|HDHMR|Stone Laminate ( Dekton 6mm)</t>
  </si>
  <si>
    <t>Wall Unit|BWP Ply|Aluminium|Tinted Glass</t>
  </si>
  <si>
    <t>Wall Unit|BWP Ply|Aluminium|Lacquer Glass</t>
  </si>
  <si>
    <t>Wall Unit|BWR Ply|HDHMR|Laminate</t>
  </si>
  <si>
    <t>Wall Unit|BWR Ply|HDHMR|Acrylic For 2mm</t>
  </si>
  <si>
    <t>Wall Unit|BWR Ply|HDHMR|Rehau Crystal Décor Acrylic</t>
  </si>
  <si>
    <t>Wall Unit|BWR Ply|HDHMR|PU Finish</t>
  </si>
  <si>
    <t>Wall Unit|BWR Ply|HDHMR|Duco Finish</t>
  </si>
  <si>
    <t>Wall Unit|BWR Ply|HDHMR|Veneer with Melamine Polish</t>
  </si>
  <si>
    <t>Wall Unit|BWR Ply|HDHMR|Membrane ( French )</t>
  </si>
  <si>
    <t>Wall Unit|BWR Ply|HDHMR|Tinted Glass</t>
  </si>
  <si>
    <t>Wall Unit|BWR Ply|HDHMR|Lacquer Glass</t>
  </si>
  <si>
    <t>Wall Unit|BWR Ply|HDHMR|Mirror</t>
  </si>
  <si>
    <t>Wall Unit|BWR Ply|HDHMR|Stone Laminate ( Dekton 6mm)</t>
  </si>
  <si>
    <t>Wall Unit|BWR Ply|Aluminium|Tinted Glass</t>
  </si>
  <si>
    <t>Wall Unit|BWR Ply|Aluminium|Lacquer Glass</t>
  </si>
  <si>
    <t>Loft|BWR Ply|HDHMR|Laminate</t>
  </si>
  <si>
    <t>Loft|BWR Ply|HDHMR|Acrylic For 2mm</t>
  </si>
  <si>
    <t>Loft|BWR Ply|HDHMR|Rehau Crystal Décor Acrylic</t>
  </si>
  <si>
    <t>Loft|BWR Ply|HDHMR|PU Finish</t>
  </si>
  <si>
    <t>Loft|BWR Ply|HDHMR|Duco Finish</t>
  </si>
  <si>
    <t>Loft|BWR Ply|HDHMR|Veneer with Melamine Polish</t>
  </si>
  <si>
    <t>Loft|BWR Ply|HDHMR|Membrane ( French )</t>
  </si>
  <si>
    <t>Loft|BWR Ply|HDHMR|Stone Laminate ( Dekton 6mm)</t>
  </si>
  <si>
    <t>Wodrobe|MR Ply|HDHMR|Laminate SUEDO FINISH</t>
  </si>
  <si>
    <t>Wodrobe|MR Ply|HDHMR|Laminate ( HG, TXT, BM, Ratten)</t>
  </si>
  <si>
    <t>Wodrobe|MR Ply|HDHMR|Rehau 2mm Acrylic</t>
  </si>
  <si>
    <t>Wodrobe|MR Ply|HDHMR|Rehau Crystal Décor Acrylic</t>
  </si>
  <si>
    <t>Wodrobe|MR Ply|HDHMR|PU Finish AP</t>
  </si>
  <si>
    <t>Wodrobe|MR Ply|HDHMR|Duco Finish</t>
  </si>
  <si>
    <t>Wodrobe|MR Ply|HDHMR|Veneer with Melamine Polish</t>
  </si>
  <si>
    <t>Wodrobe|MR Ply|HDHMR|Membrane ( French )</t>
  </si>
  <si>
    <t>Wodrobe|MR Ply|HDHMR|Tinted Glass</t>
  </si>
  <si>
    <t>Wodrobe|MR Ply|HDHMR|Lacquer Glass</t>
  </si>
  <si>
    <t>Wodrobe|MR Ply|HDHMR|Mirror</t>
  </si>
  <si>
    <t>Wodrobe|MR Ply|HDHMR|Stone Laminate ( Dekton 6mm)</t>
  </si>
  <si>
    <t>Wodrobe|MR Ply|Aluminum Profile|Tinted Glass</t>
  </si>
  <si>
    <t>Wodrobe|MR Ply|Aluminum Profile|Lacquer Glass</t>
  </si>
  <si>
    <t>Wodrobe|MR Ply|Aluminum Profile|Laminate Infill</t>
  </si>
  <si>
    <t>Wodrobe|MR Ply|Aluminum Profile|Acrylic Infill</t>
  </si>
  <si>
    <t>Wodrobe|MR Ply|Aluminum Profile|Dual Finish Infill (Laminate+Glass)</t>
  </si>
  <si>
    <t>Wodrobe|MR Ply|SLIDING SYSTEM HAFELE|2 DOORS</t>
  </si>
  <si>
    <t>Wodrobe|MR Ply|SLIDING SYSTEM HAFELE|3 DOORS</t>
  </si>
  <si>
    <t>Wodrobe|MR Ply|SLIDE &amp; FOLD HAFELE|4 DOORS</t>
  </si>
  <si>
    <t>Wodrobe|MR Ply|SLIDE &amp; CONCEAL HAFELE|5DOORS</t>
  </si>
  <si>
    <t>Wodrobe|MR Ply|OPEN SHELVES HAFELE|Powder coated Aluminum</t>
  </si>
  <si>
    <t>Wodrobe|MR Ply|RAUMPLUS WALKIN WR|TURNKEY</t>
  </si>
  <si>
    <t>Wodrobe|MR Ply|RAUMPLUS SKELETON|TURNKEY</t>
  </si>
  <si>
    <t>Wodrobe|MR Ply|RAUMPLUS SYNCHRO|ENTRY 2+2 Doors</t>
  </si>
  <si>
    <t>Wodrobe|Comm Ply|HDHMR|Laminate SUEDO FINISH</t>
  </si>
  <si>
    <t>Wodrobe|Comm Ply|HDHMR|Laminate ( HG, TXT, BM, Ratten)</t>
  </si>
  <si>
    <t>Wodrobe|Comm Ply|HDHMR|Rehau 2mm Acrylic</t>
  </si>
  <si>
    <t>Wodrobe|Comm Ply|HDHMR|Rehau Crystal Décor Acrylic</t>
  </si>
  <si>
    <t>Wodrobe|Comm Ply|HDHMR|PU Finish AP</t>
  </si>
  <si>
    <t>Wodrobe|Comm Ply|HDHMR|Duco Finish</t>
  </si>
  <si>
    <t>Wodrobe|Comm Ply|HDHMR|Veneer with Melamine Polish</t>
  </si>
  <si>
    <t>Wodrobe|Comm Ply|HDHMR|Membrane ( French )</t>
  </si>
  <si>
    <t>Wodrobe|Comm Ply|HDHMR|Tinted Glass</t>
  </si>
  <si>
    <t>Wodrobe|Comm Ply|HDHMR|Lacquer Glass</t>
  </si>
  <si>
    <t>Wodrobe|Comm Ply|HDHMR|Mirror</t>
  </si>
  <si>
    <t>Wodrobe|Comm Ply|HDHMR|Stone Laminate ( Dekton 6mm)</t>
  </si>
  <si>
    <t>Wodrobe|Comm Ply|Aluminum Profile|Tinted Glass</t>
  </si>
  <si>
    <t>Wodrobe|Comm Ply|Aluminum Profile|Lacquer Glass</t>
  </si>
  <si>
    <t>Wodrobe|Comm Ply|Aluminum Profile|Laminate Infill</t>
  </si>
  <si>
    <t>Wodrobe|Comm Ply|Aluminum Profile|Acrylic Infill</t>
  </si>
  <si>
    <t>Wodrobe|Comm Ply|Aluminum Profile|Dual Finish Infill (Laminate+Glass)</t>
  </si>
  <si>
    <t>Wodrobe|Comm Ply|SLIDING SYSTEM HAFELE|2 DOORS</t>
  </si>
  <si>
    <t>Wodrobe|Comm Ply|SLIDING SYSTEM HAFELE|3 DOORS</t>
  </si>
  <si>
    <t>Wodrobe|Comm Ply|SLIDE &amp; FOLD HAFELE|4 DOORS</t>
  </si>
  <si>
    <t>Wodrobe|Comm Ply|SLIDE &amp; CONCEAL HAFELE|5DOORS</t>
  </si>
  <si>
    <t>Wodrobe|Comm Ply|OPEN SHELVES HAFELE|Powder coated Aluminum</t>
  </si>
  <si>
    <t>Wodrobe|Comm Ply|RAUMPLUS WALKIN WR|TURNKEY</t>
  </si>
  <si>
    <t>Wodrobe|Comm Ply|RAUMPLUS SKELETON|TURNKEY</t>
  </si>
  <si>
    <t>Wodrobe|Comm Ply|RAUMPLUS SYNCHRO|ENTRY 2+2 Doors</t>
  </si>
  <si>
    <t>Wodrobe|BWR Ply|HDHMR|Laminate SUEDO FINISH</t>
  </si>
  <si>
    <t>Wodrobe|BWR Ply|HDHMR|Laminate ( HG, TXT, BM, Ratten)</t>
  </si>
  <si>
    <t>Wodrobe|BWR Ply|HDHMR|Rehau 2mm Acrylic</t>
  </si>
  <si>
    <t>Wodrobe|BWR Ply|HDHMR|Rehau Crystal Décor Acrylic</t>
  </si>
  <si>
    <t>Wodrobe|BWR Ply|HDHMR|PU Finish AP</t>
  </si>
  <si>
    <t>Wodrobe|BWR Ply|HDHMR|Duco Finish</t>
  </si>
  <si>
    <t>Wodrobe|BWR Ply|HDHMR|Veneer with Melamine Polish</t>
  </si>
  <si>
    <t>Wodrobe|BWR Ply|HDHMR|Membrane ( French )</t>
  </si>
  <si>
    <t>Wodrobe|BWR Ply|HDHMR|Tinted Glass</t>
  </si>
  <si>
    <t>Wodrobe|BWR Ply|HDHMR|Lacquer Glass</t>
  </si>
  <si>
    <t>Wodrobe|BWR Ply|HDHMR|Mirror</t>
  </si>
  <si>
    <t>Wodrobe|BWR Ply|HDHMR|Stone Laminate ( Dekton 6mm)</t>
  </si>
  <si>
    <t>Wodrobe|BWR Ply|Aluminum Profile|Tinted Glass</t>
  </si>
  <si>
    <t>Wodrobe|BWR Ply|Aluminum Profile|Lacquer Glass</t>
  </si>
  <si>
    <t>Wodrobe|BWR Ply|Aluminum Profile|Laminate Infill</t>
  </si>
  <si>
    <t>Wodrobe|BWR Ply|Aluminum Profile|Acrylic Infill</t>
  </si>
  <si>
    <t>Wodrobe|BWR Ply|Aluminum Profile|Dual Finish Infill (Laminate+Glass)</t>
  </si>
  <si>
    <t>Wodrobe|BWR Ply|SLIDING SYSTEM HAFELE|2 DOORS</t>
  </si>
  <si>
    <t>Wodrobe|BWR Ply|SLIDING SYSTEM HAFELE|3 DOORS</t>
  </si>
  <si>
    <t>Wodrobe|BWR Ply|SLIDE &amp; FOLD HAFELE|4 DOORS</t>
  </si>
  <si>
    <t>Wodrobe|BWR Ply|SLIDE &amp; CONCEAL HAFELE|5DOORS</t>
  </si>
  <si>
    <t>Wodrobe|BWR Ply|OPEN SHELVES HAFELE|Powder coated Aluminum</t>
  </si>
  <si>
    <t>Wodrobe|BWR Ply|RAUMPLUS WALKIN WR|TURNKEY</t>
  </si>
  <si>
    <t>Wodrobe|BWR Ply|RAUMPLUS SKELETON|TURNKEY</t>
  </si>
  <si>
    <t>Wodrobe|BWR Ply|RAUMPLUS SYNCHRO|ENTRY 2+2 Doors</t>
  </si>
  <si>
    <t>Wodrobe|PLPB Century|HDHMR|Laminate SUEDO FINISH</t>
  </si>
  <si>
    <t>Wodrobe|PLPB Century|HDHMR|Laminate ( HG, TXT, BM, Ratten)</t>
  </si>
  <si>
    <t>Wodrobe|PLPB Century|HDHMR|Rehau 2mm Acrylic</t>
  </si>
  <si>
    <t>Wodrobe|PLPB Century|HDHMR|Rehau Crystal Décor Acrylic</t>
  </si>
  <si>
    <t>Wodrobe|PLPB Century|HDHMR|PU Finish AP</t>
  </si>
  <si>
    <t>Wodrobe|PLPB Century|HDHMR|Duco Finish</t>
  </si>
  <si>
    <t>Wodrobe|PLPB Century|HDHMR|Veneer with Melamine Polish</t>
  </si>
  <si>
    <t>Wodrobe|PLPB Century|HDHMR|Membrane ( French )</t>
  </si>
  <si>
    <t>Wodrobe|PLPB Century|HDHMR|Tinted Glass</t>
  </si>
  <si>
    <t>Wodrobe|PLPB Century|HDHMR|Lacquer Glass</t>
  </si>
  <si>
    <t>Wodrobe|PLPB Century|HDHMR|Mirror</t>
  </si>
  <si>
    <t>Wodrobe|PLPB Century|HDHMR|Stone Laminate ( Dekton 6mm)</t>
  </si>
  <si>
    <t>Wodrobe|PLPB Century|Aluminum Profile|Tinted Glass</t>
  </si>
  <si>
    <t>Wodrobe|PLPB Century|Aluminum Profile|Lacquer Glass</t>
  </si>
  <si>
    <t>Wodrobe|PLPB Century|Aluminum Profile|Laminate Infill</t>
  </si>
  <si>
    <t>Wodrobe|PLPB Century|Aluminum Profile|Acrylic Infill</t>
  </si>
  <si>
    <t>Wodrobe|PLPB Century|Aluminum Profile|Dual Finish Infill (Laminate+Glass)</t>
  </si>
  <si>
    <t>Wodrobe|PLPB Century|SLIDING SYSTEM HAFELE|2 DOORS</t>
  </si>
  <si>
    <t>Wodrobe|PLPB Century|SLIDING SYSTEM HAFELE|3 DOORS</t>
  </si>
  <si>
    <t>Wodrobe|PLPB Century|SLIDE &amp; FOLD HAFELE|4 DOORS</t>
  </si>
  <si>
    <t>Wodrobe|PLPB Century|SLIDE &amp; CONCEAL HAFELE|5DOORS</t>
  </si>
  <si>
    <t>Wodrobe|PLPB Century|OPEN SHELVES HAFELE|Powder coated Aluminum</t>
  </si>
  <si>
    <t>Wodrobe|PLPB Century|RAUMPLUS WALKIN WR|TURNKEY</t>
  </si>
  <si>
    <t>Wodrobe|PLPB Century|RAUMPLUS SKELETON|TURNKEY</t>
  </si>
  <si>
    <t>Wodrobe|PLPB Century|RAUMPLUS SYNCHRO|ENTRY 2+2 Doors</t>
  </si>
  <si>
    <t>Wodrobe|PLPB Egger|HDHMR|Laminate SUEDO FINISH</t>
  </si>
  <si>
    <t>Wodrobe|PLPB Egger|HDHMR|Laminate ( HG, TXT, BM, Ratten)</t>
  </si>
  <si>
    <t>Wodrobe|PLPB Egger|HDHMR|Rehau 2mm Acrylic</t>
  </si>
  <si>
    <t>Wodrobe|PLPB Egger|HDHMR|Rehau Crystal Décor Acrylic</t>
  </si>
  <si>
    <t>Wodrobe|PLPB Egger|HDHMR|PU Finish AP</t>
  </si>
  <si>
    <t>Wodrobe|PLPB Egger|HDHMR|Duco Finish</t>
  </si>
  <si>
    <t>Wodrobe|PLPB Egger|HDHMR|Veneer with Melamine Polish</t>
  </si>
  <si>
    <t>Wodrobe|PLPB Egger|HDHMR|Membrane ( French )</t>
  </si>
  <si>
    <t>Wodrobe|PLPB Egger|HDHMR|Tinted Glass</t>
  </si>
  <si>
    <t>Wodrobe|PLPB Egger|HDHMR|Lacquer Glass</t>
  </si>
  <si>
    <t>Wodrobe|PLPB Egger|HDHMR|Mirror</t>
  </si>
  <si>
    <t>Wodrobe|PLPB Egger|HDHMR|Stone Laminate ( Dekton 6mm)</t>
  </si>
  <si>
    <t>Wodrobe|PLPB Egger|Aluminum Profile|Tinted Glass</t>
  </si>
  <si>
    <t>Wodrobe|PLPB Egger|Aluminum Profile|Lacquer Glass</t>
  </si>
  <si>
    <t>Wodrobe|PLPB Egger|Aluminum Profile|Laminate Infill</t>
  </si>
  <si>
    <t>Wodrobe|PLPB Egger|Aluminum Profile|Acrylic Infill</t>
  </si>
  <si>
    <t>Wodrobe|PLPB Egger|Aluminum Profile|Dual Finish Infill (Laminate+Glass)</t>
  </si>
  <si>
    <t>Wodrobe|PLPB Egger|SLIDING SYSTEM HAFELE|2 DOORS</t>
  </si>
  <si>
    <t>Wodrobe|PLPB Egger|SLIDING SYSTEM HAFELE|3 DOORS</t>
  </si>
  <si>
    <t>Wodrobe|PLPB Egger|SLIDE &amp; FOLD HAFELE|4 DOORS</t>
  </si>
  <si>
    <t>Wodrobe|PLPB Egger|SLIDE &amp; CONCEAL HAFELE|5DOORS</t>
  </si>
  <si>
    <t>Wodrobe|PLPB Egger|OPEN SHELVES HAFELE|Powder coated Aluminum</t>
  </si>
  <si>
    <t>Wodrobe|PLPB Egger|RAUMPLUS WALKIN WR|TURNKEY</t>
  </si>
  <si>
    <t>Wodrobe|PLPB Egger|RAUMPLUS SKELETON|TURNKEY</t>
  </si>
  <si>
    <t>Wodrobe|PLPB Egger|RAUMPLUS SYNCHRO|ENTRY 2+2 Doors</t>
  </si>
  <si>
    <t>Loft|MR Ply|HDHMR|Laminate SUEDO FINISH</t>
  </si>
  <si>
    <t>Loft|MR Ply|HDHMR|Laminate ( HG, TXT, BM, Ratten)</t>
  </si>
  <si>
    <t>Loft|MR Ply|HDHMR|Rehau 2mm Acrylic</t>
  </si>
  <si>
    <t>Loft|MR Ply|HDHMR|Rehau Crystal Décor Acrylic</t>
  </si>
  <si>
    <t>Loft|MR Ply|HDHMR|PU Finish AP</t>
  </si>
  <si>
    <t>Loft|MR Ply|HDHMR|Duco Finish</t>
  </si>
  <si>
    <t>Loft|MR Ply|HDHMR|Veneer with Melamine Polish</t>
  </si>
  <si>
    <t>Loft|MR Ply|HDHMR|Membrane ( French )</t>
  </si>
  <si>
    <t>Loft|MR Ply|HDHMR|Tinted Glass</t>
  </si>
  <si>
    <t>Loft|MR Ply|HDHMR|Lacquer Glass</t>
  </si>
  <si>
    <t>Loft|MR Ply|HDHMR|Mirror</t>
  </si>
  <si>
    <t>Loft|MR Ply|HDHMR|Stone Laminate ( Dekton 6mm)</t>
  </si>
  <si>
    <t>Loft|MR Ply|Aluminum Profile|Tinted Glass</t>
  </si>
  <si>
    <t>Loft|MR Ply|Aluminum Profile|Lacquer Glass</t>
  </si>
  <si>
    <t>Loft|MR Ply|Aluminum Profile|Laminate Infill</t>
  </si>
  <si>
    <t>Loft|MR Ply|Aluminum Profile|Acrylic Infill</t>
  </si>
  <si>
    <t>Loft|MR Ply|Aluminum Profile|Dual Finish Infill (Laminate+Glass)</t>
  </si>
  <si>
    <t>Wall Panel|Comm Ply|-|Laminate</t>
  </si>
  <si>
    <t>Wall Panel|Comm Ply|-|Acrylic</t>
  </si>
  <si>
    <t>Wall Panel|Comm Ply|-|French Mould + PU</t>
  </si>
  <si>
    <t>Wall Panel|Comm Ply|-|Veneer</t>
  </si>
  <si>
    <t>Wall Panel|Comm Ply|-|Lacquer Glass</t>
  </si>
  <si>
    <t>Wall Panel|Comm Ply|-|Mirror</t>
  </si>
  <si>
    <t>Wall Panel|Comm Ply|-|Stone Laminate</t>
  </si>
  <si>
    <t>On Request</t>
  </si>
  <si>
    <t>Wall Panel|Comm Ply|-|CNC, ART Work with PU</t>
  </si>
  <si>
    <t>Wall Panel|Comm Ply|-|WALLPAPER</t>
  </si>
  <si>
    <t>Wall Panel|HDHMR|-|Laminate</t>
  </si>
  <si>
    <t>Wall Panel|HDHMR|-|Acrylic</t>
  </si>
  <si>
    <t>Wall Panel|HDHMR|-|French Mould + PU</t>
  </si>
  <si>
    <t>Wall Panel|HDHMR|-|Veneer + Laminate</t>
  </si>
  <si>
    <t>Wall Panel|HDHMR|-|Veneer</t>
  </si>
  <si>
    <t>Wall Panel|HDHMR|-|Lacquer Glass</t>
  </si>
  <si>
    <t>Wall Panel|HDHMR|-|Mirror</t>
  </si>
  <si>
    <t>Wall Panel|HDHMR|-|Stone Laminate</t>
  </si>
  <si>
    <t>Wall Panel|HDHMR|-|CNC, ART Work with PU</t>
  </si>
  <si>
    <t>Wall Panel|HDHMR|-|WALLPAPER</t>
  </si>
  <si>
    <t>Wall Panel|Acoustic Panels|-|Knauf Danoline</t>
  </si>
  <si>
    <t>Wall Panel|With LED MIRROR|-|FOR DRESSER UNIT</t>
  </si>
  <si>
    <t>Wall Panel|BACK LIGHT MIRROR|-|FOR DRESSER UNIT</t>
  </si>
  <si>
    <t>Wall Panel|Wall Paper|-|Ddecor</t>
  </si>
  <si>
    <t>Shower Partition|SLIDING Door|-|10MM THICKNESS</t>
  </si>
  <si>
    <t>Shower Partition|Openable Door, OZONE Hardwares,
Saint Gobain 10MM TGH,      
With Anodized Aluminum Frame Hafele.|-|10MM THICKNESS</t>
  </si>
  <si>
    <t>Shower Partition|Partition Half Glass|-|10MM THICKNESS</t>
  </si>
  <si>
    <t>Bedside Table|Laminate Finish|-|-</t>
  </si>
  <si>
    <t>Bedside Table|Veneer Finish|-|-</t>
  </si>
  <si>
    <t>Bedside Table|Veneer Finish with quartz counter top|-|-</t>
  </si>
  <si>
    <t>Bedside Table|Veneer Finish with glass counter top|-|-</t>
  </si>
  <si>
    <t>Bedside Table|With PVD Coating Legs|-|(1000+Material selected)</t>
  </si>
  <si>
    <t>Dressing|Cabinet With Glass Countertop|-|-</t>
  </si>
  <si>
    <t>Dressing|Cosmetics Organisers|-|FOR 900mm</t>
  </si>
  <si>
    <t>Dressing|Cosmetics Organisers|-|FOR 1200mm</t>
  </si>
  <si>
    <t>Dressing|Puff Chair|-|450MM Dia</t>
  </si>
  <si>
    <t>Dressing|-|-|ENTRY 2+2 Doors</t>
  </si>
  <si>
    <t>Bedroom - Furnishing|HEAD BOARD CUSHION|-|Dedecor Material</t>
  </si>
  <si>
    <t>Bedroom - Furnishing|OTTOMAN|-|PU Leather</t>
  </si>
  <si>
    <t>Bedroom - Furnishing|-|-|Tata Leather</t>
  </si>
  <si>
    <t>Bedroom - Furnishing|-|-|Fabric</t>
  </si>
  <si>
    <t>CASAMELIA INTERNATIONAL 
(Unit of INNOVATIVE FENESTRATION SOLUTIONS)
No. 19, Workspring, PriCommose Road, Off MG Road, Bangalore-560025
Factory: No, 10A, Sector2, Phase 1, Bidadi Industrial Area, Bangalore-562109.
info@casameliainternational.com
Phone: +91 9632301790
www.casameliainternational.com</t>
  </si>
  <si>
    <t>CUSTOMER NAME</t>
  </si>
  <si>
    <t>ADDRESS</t>
  </si>
  <si>
    <t>Project Ref</t>
  </si>
  <si>
    <t>DATE</t>
  </si>
  <si>
    <t>Mr.Chetan Kumar</t>
  </si>
  <si>
    <t>Kanakapura</t>
  </si>
  <si>
    <t>CASA20260801</t>
  </si>
  <si>
    <t>Sl no</t>
  </si>
  <si>
    <t>Description of Work</t>
  </si>
  <si>
    <t>Measurement in Ft</t>
  </si>
  <si>
    <t>Area in Sft</t>
  </si>
  <si>
    <t>Qty</t>
  </si>
  <si>
    <t>Rate in Rs.</t>
  </si>
  <si>
    <t>Amount in Rs.</t>
  </si>
  <si>
    <t>Width</t>
  </si>
  <si>
    <t>Length</t>
  </si>
  <si>
    <t>FOYER AREA</t>
  </si>
  <si>
    <t xml:space="preserve">Wall Panel </t>
  </si>
  <si>
    <t>HDHMR + Mirror</t>
  </si>
  <si>
    <t>TOTAL</t>
  </si>
  <si>
    <t>Multi Purpose Hall</t>
  </si>
  <si>
    <t>Rft</t>
  </si>
  <si>
    <t>Staircase - Wall Panel</t>
  </si>
  <si>
    <t>Bedroom 1 (GBR)</t>
  </si>
  <si>
    <t>Wodrobe 1</t>
  </si>
  <si>
    <t>Lofts</t>
  </si>
  <si>
    <t>Dressing Mirror</t>
  </si>
  <si>
    <t>First Floor - Dining Area</t>
  </si>
  <si>
    <t>Pooja unit</t>
  </si>
  <si>
    <t>Bay Window - Seating</t>
  </si>
  <si>
    <t>Store Room</t>
  </si>
  <si>
    <t>Bedroom 2</t>
  </si>
  <si>
    <t>Cot bed</t>
  </si>
  <si>
    <t>Headboard</t>
  </si>
  <si>
    <t>Bed side table</t>
  </si>
  <si>
    <t>L - Swing Wardrobe</t>
  </si>
  <si>
    <t>2nd Floor - Study Room</t>
  </si>
  <si>
    <t>Study Space</t>
  </si>
  <si>
    <t>Study - Back Panel</t>
  </si>
  <si>
    <t>Kids Bedroom</t>
  </si>
  <si>
    <t>Swing Wardrobe</t>
  </si>
  <si>
    <t>Master Bedroom</t>
  </si>
  <si>
    <t>Bathrooms</t>
  </si>
  <si>
    <t>Vanity Mirror</t>
  </si>
  <si>
    <t>Vanity Unit</t>
  </si>
  <si>
    <t>SUB TOTAL</t>
  </si>
  <si>
    <t>GST 18%</t>
  </si>
  <si>
    <t>Twenty-Two Lakh Fifty-Six Thousand Eighty Rupees</t>
  </si>
  <si>
    <t>No.</t>
  </si>
  <si>
    <t>Terms &amp; Conditions</t>
  </si>
  <si>
    <t>The estimate will be valid for a period of 30 days. The quotation is inclusive of GST and transportation.</t>
  </si>
  <si>
    <t>The actual cost of the project will depend on the final sign-off drawings.</t>
  </si>
  <si>
    <t>60% advance payment at the time of booking. Second payment of 30% after delivery. Balance 10% payment upon completion of installation. Any payment made is strictly non-refundable.</t>
  </si>
  <si>
    <t>Casemelia will not process any file without the client's signature on the agreed proposal and drawings. Mail confirmation will not be accepted unless the signature is endorsed and mailed.</t>
  </si>
  <si>
    <t>Delivery will be within 4–5 weeks from the finalization of designs, shades, hardware, accessories, and sign-off on production drawings by the client. Casemelia will not be responsible for delays caused by unforeseen circumstances or delays in finalization of drawings/designs.</t>
  </si>
  <si>
    <t>Accessories/electrical items shown in the images are not part of the product unless mentioned separately. The quotation clearly specifies the inclusions, and anything beyond the stated inclusions will be chargeable.</t>
  </si>
  <si>
    <t>Casemelia reserves the right to alter/change materials based on technical requirements or material availability without compromising the aesthetics and life of the product. There may be a variation between the color displayed on the website and the actual product color. Slight variations may also occur between the aluminum profile/edge banding and the shutter. Confirmation will be taken from the client.</t>
  </si>
  <si>
    <t>All modular components manufactured at the factory carry a lifetime warranty, and non-modular components carry a 10-year warranty, subject to site wear and tear conditions.</t>
  </si>
  <si>
    <t>Civil, plumbing, electrical wiring, and floor protection will be the client's scope. Casemelia will only provide the marking for the same, if required. Power supply should be provided by the client/builder.</t>
  </si>
  <si>
    <t>No changes will be entertained under any circumstances after sign-off on the production drawings. No alterations will be accepted once delivery is made.</t>
  </si>
  <si>
    <t>Casemelia will not be responsible for any electrical, plumbing, or civil changes carried out on site after sign-off. All civil and electrical changes must be made after informing the designer, as per requirements, before sign-off and should be reflected in the production drawings.</t>
  </si>
  <si>
    <t>The client will be responsible for ensuring ample access to move the material into the property and for providing safe and secure storage.</t>
  </si>
  <si>
    <t>The designs/furniture models shared with the client are the property of Casemelia. Sharing them with competitors will constitute a violation of copyrights.</t>
  </si>
  <si>
    <t>Seating Cushion</t>
  </si>
  <si>
    <t>wodrobe</t>
  </si>
  <si>
    <t>Customized bed with cushioning</t>
  </si>
  <si>
    <t>Sl. No.</t>
  </si>
  <si>
    <t>Foyer Area</t>
  </si>
  <si>
    <t>Living Area</t>
  </si>
  <si>
    <t>Tall Unit</t>
  </si>
  <si>
    <t>Pooja Unit</t>
  </si>
  <si>
    <t>Kitchen</t>
  </si>
  <si>
    <t>Utility</t>
  </si>
  <si>
    <t>Janitor Unit</t>
  </si>
  <si>
    <t>Swing Wodrobe</t>
  </si>
  <si>
    <t xml:space="preserve">Dressing </t>
  </si>
  <si>
    <t>Wodrobe 2</t>
  </si>
  <si>
    <t>Toilet</t>
  </si>
  <si>
    <t>Vanity</t>
  </si>
  <si>
    <t>Hide Item, COLUMN</t>
  </si>
  <si>
    <t>Kitchen Base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</si>
</sst>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₹&quot;\ #,##0;[Red]&quot;₹&quot;\ \-#,##0"/>
    <numFmt numFmtId="164" formatCode="&quot;₹&quot;\ #,##0"/>
  </numFmts>
  <fonts count="16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11"/>
      <color rgb="FF000000"/>
      <name val="Calibri"/>
      <charset val="1"/>
    </font>
    <font>
      <b/>
      <sz val="11"/>
      <color rgb="FF00B050"/>
      <name val="Calibri"/>
      <charset val="1"/>
    </font>
    <font>
      <b/>
      <i/>
      <sz val="11"/>
      <color rgb="FF00B050"/>
      <name val="Calibri"/>
      <charset val="1"/>
    </font>
    <font>
      <b/>
      <sz val="11"/>
      <name val="Calibri"/>
      <charset val="1"/>
    </font>
    <font>
      <b/>
      <sz val="10"/>
      <color rgb="FF808080"/>
      <name val="Calibri"/>
      <charset val="1"/>
    </font>
    <font>
      <i/>
      <sz val="10"/>
      <color rgb="FF80808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rgb="FFFF0000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E9E79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Border="1" applyAlignment="1">
      <alignment horizontal="left" vertical="center"/>
    </xf>
    <xf numFmtId="0" fontId="0" fillId="0" borderId="0" xfId="0" applyAlignment="1"/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Font="1" applyBorder="1" applyAlignment="1">
      <alignment vertical="center"/>
    </xf>
    <xf numFmtId="1" fontId="0" fillId="0" borderId="1" xfId="0" applyNumberFormat="1" applyBorder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/>
    <xf numFmtId="0" fontId="0" fillId="0" borderId="5" xfId="0" applyBorder="1" applyAlignment="1"/>
    <xf numFmtId="3" fontId="0" fillId="0" borderId="5" xfId="0" applyNumberFormat="1" applyBorder="1" applyAlignment="1"/>
    <xf numFmtId="0" fontId="7" fillId="0" borderId="0" xfId="0" applyFont="1" applyAlignment="1"/>
    <xf numFmtId="0" fontId="0" fillId="0" borderId="0" xfId="0" applyFont="1" applyAlignment="1">
      <alignment wrapText="1"/>
    </xf>
    <xf numFmtId="0" fontId="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6" fontId="12" fillId="3" borderId="1" xfId="0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6" fontId="13" fillId="0" borderId="1" xfId="0" applyNumberFormat="1" applyFont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6" fontId="9" fillId="3" borderId="1" xfId="0" applyNumberFormat="1" applyFont="1" applyFill="1" applyBorder="1" applyAlignment="1">
      <alignment horizontal="center"/>
    </xf>
    <xf numFmtId="6" fontId="9" fillId="4" borderId="1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16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3" fontId="13" fillId="0" borderId="1" xfId="0" applyNumberFormat="1" applyFont="1" applyBorder="1" applyAlignment="1">
      <alignment horizontal="center"/>
    </xf>
    <xf numFmtId="0" fontId="5" fillId="0" borderId="3" xfId="0" applyFont="1" applyFill="1" applyBorder="1" applyAlignment="1">
      <alignment horizontal="left" vertical="center"/>
    </xf>
    <xf numFmtId="0" fontId="0" fillId="0" borderId="17" xfId="0" applyFill="1" applyBorder="1" applyAlignment="1"/>
    <xf numFmtId="0" fontId="13" fillId="5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0" fillId="0" borderId="18" xfId="0" applyBorder="1" applyAlignment="1"/>
    <xf numFmtId="3" fontId="0" fillId="0" borderId="18" xfId="0" applyNumberFormat="1" applyBorder="1" applyAlignment="1"/>
    <xf numFmtId="0" fontId="0" fillId="0" borderId="1" xfId="0" applyBorder="1"/>
    <xf numFmtId="0" fontId="0" fillId="0" borderId="1" xfId="0" applyBorder="1" applyAlignment="1"/>
    <xf numFmtId="3" fontId="0" fillId="0" borderId="1" xfId="0" applyNumberFormat="1" applyBorder="1" applyAlignment="1"/>
    <xf numFmtId="0" fontId="13" fillId="0" borderId="1" xfId="0" applyFont="1" applyBorder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9" fillId="0" borderId="1" xfId="0" applyFont="1" applyFill="1" applyBorder="1"/>
    <xf numFmtId="0" fontId="0" fillId="0" borderId="1" xfId="0" applyFill="1" applyBorder="1"/>
    <xf numFmtId="0" fontId="13" fillId="0" borderId="1" xfId="0" applyFont="1" applyBorder="1" applyAlignment="1"/>
    <xf numFmtId="0" fontId="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1" fillId="2" borderId="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/>
    </xf>
    <xf numFmtId="0" fontId="11" fillId="2" borderId="14" xfId="0" applyFont="1" applyFill="1" applyBorder="1" applyAlignment="1">
      <alignment horizontal="center"/>
    </xf>
    <xf numFmtId="6" fontId="11" fillId="2" borderId="2" xfId="0" applyNumberFormat="1" applyFont="1" applyFill="1" applyBorder="1" applyAlignment="1">
      <alignment horizontal="center" vertical="center"/>
    </xf>
    <xf numFmtId="6" fontId="11" fillId="2" borderId="4" xfId="0" applyNumberFormat="1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13" fillId="0" borderId="2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 wrapText="1"/>
    </xf>
    <xf numFmtId="0" fontId="9" fillId="4" borderId="12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3" fontId="9" fillId="0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top"/>
    </xf>
    <xf numFmtId="0" fontId="5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top"/>
    </xf>
    <xf numFmtId="0" fontId="1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6" fontId="11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220306</xdr:colOff>
      <xdr:row>1</xdr:row>
      <xdr:rowOff>0</xdr:rowOff>
    </xdr:from>
    <xdr:to>
      <xdr:col>16</xdr:col>
      <xdr:colOff>0</xdr:colOff>
      <xdr:row>6</xdr:row>
      <xdr:rowOff>136071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7306" y="0"/>
          <a:ext cx="2027594" cy="1234621"/>
        </a:xfrm>
        <a:prstGeom prst="rect">
          <a:avLst/>
        </a:prstGeom>
        <a:solidFill>
          <a:schemeClr val="accent1"/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895350</xdr:colOff>
      <xdr:row>0</xdr:row>
      <xdr:rowOff>31750</xdr:rowOff>
    </xdr:from>
    <xdr:to>
      <xdr:col>12</xdr:col>
      <xdr:colOff>984250</xdr:colOff>
      <xdr:row>0</xdr:row>
      <xdr:rowOff>1443150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2350" y="31750"/>
          <a:ext cx="2476500" cy="1411400"/>
        </a:xfrm>
        <a:prstGeom prst="rect">
          <a:avLst/>
        </a:prstGeom>
        <a:solidFill>
          <a:schemeClr val="accent1"/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000"/>
  <sheetViews>
    <sheetView topLeftCell="A52" zoomScaleNormal="100" workbookViewId="0">
      <selection activeCell="F75" sqref="F75"/>
    </sheetView>
  </sheetViews>
  <sheetFormatPr defaultColWidth="14.453125" defaultRowHeight="14.5" x14ac:dyDescent="0.35"/>
  <cols>
    <col min="1" max="1" width="18.81640625" style="2" customWidth="1"/>
    <col min="2" max="2" width="32.54296875" style="2" customWidth="1"/>
    <col min="3" max="3" width="22.453125" style="2" customWidth="1"/>
    <col min="4" max="4" width="29.1796875" style="2" customWidth="1"/>
    <col min="5" max="5" width="22.54296875" style="2" customWidth="1"/>
    <col min="6" max="6" width="6.81640625" style="2" customWidth="1"/>
    <col min="7" max="7" width="9.1796875" style="2" customWidth="1"/>
    <col min="8" max="8" width="5.26953125" style="2" customWidth="1"/>
    <col min="9" max="9" width="8.7265625" style="2" customWidth="1"/>
    <col min="10" max="10" width="15.453125" style="2" customWidth="1"/>
    <col min="11" max="11" width="12.1796875" style="2" customWidth="1"/>
    <col min="12" max="26" width="8.7265625" style="2" customWidth="1"/>
  </cols>
  <sheetData>
    <row r="1" spans="1:26" ht="14.2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 x14ac:dyDescent="0.35">
      <c r="A2" s="57" t="s">
        <v>8</v>
      </c>
      <c r="B2" s="6" t="s">
        <v>9</v>
      </c>
      <c r="C2" s="6" t="s">
        <v>10</v>
      </c>
      <c r="D2" s="5" t="s">
        <v>11</v>
      </c>
      <c r="E2" s="5"/>
      <c r="F2" s="5">
        <v>1990</v>
      </c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 x14ac:dyDescent="0.35">
      <c r="A3" s="57"/>
      <c r="B3" s="6" t="s">
        <v>9</v>
      </c>
      <c r="C3" s="6" t="s">
        <v>10</v>
      </c>
      <c r="D3" s="5" t="s">
        <v>12</v>
      </c>
      <c r="E3" s="5"/>
      <c r="F3" s="5">
        <v>2230</v>
      </c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 x14ac:dyDescent="0.35">
      <c r="A4" s="57"/>
      <c r="B4" s="6" t="s">
        <v>9</v>
      </c>
      <c r="C4" s="6" t="s">
        <v>10</v>
      </c>
      <c r="D4" s="5" t="s">
        <v>13</v>
      </c>
      <c r="E4" s="5"/>
      <c r="F4" s="5">
        <v>3200</v>
      </c>
      <c r="G4" s="5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 x14ac:dyDescent="0.35">
      <c r="A5" s="57"/>
      <c r="B5" s="6" t="s">
        <v>9</v>
      </c>
      <c r="C5" s="6" t="s">
        <v>10</v>
      </c>
      <c r="D5" s="5" t="s">
        <v>14</v>
      </c>
      <c r="E5" s="5"/>
      <c r="F5" s="5">
        <v>2480</v>
      </c>
      <c r="G5" s="5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 x14ac:dyDescent="0.35">
      <c r="A6" s="57"/>
      <c r="B6" s="6" t="s">
        <v>9</v>
      </c>
      <c r="C6" s="6" t="s">
        <v>10</v>
      </c>
      <c r="D6" s="5" t="s">
        <v>15</v>
      </c>
      <c r="E6" s="5"/>
      <c r="F6" s="5">
        <v>2480</v>
      </c>
      <c r="G6" s="5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 x14ac:dyDescent="0.35">
      <c r="A7" s="57"/>
      <c r="B7" s="6" t="s">
        <v>9</v>
      </c>
      <c r="C7" s="6" t="s">
        <v>10</v>
      </c>
      <c r="D7" s="5" t="s">
        <v>16</v>
      </c>
      <c r="E7" s="5"/>
      <c r="F7" s="5">
        <v>2540</v>
      </c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 x14ac:dyDescent="0.35">
      <c r="A8" s="57"/>
      <c r="B8" s="6" t="s">
        <v>9</v>
      </c>
      <c r="C8" s="6" t="s">
        <v>10</v>
      </c>
      <c r="D8" s="5" t="s">
        <v>17</v>
      </c>
      <c r="E8" s="5"/>
      <c r="F8" s="5">
        <v>2230</v>
      </c>
      <c r="G8" s="5"/>
      <c r="H8" s="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 x14ac:dyDescent="0.35">
      <c r="A9" s="57"/>
      <c r="B9" s="6" t="s">
        <v>9</v>
      </c>
      <c r="C9" s="6" t="s">
        <v>10</v>
      </c>
      <c r="D9" s="5" t="s">
        <v>18</v>
      </c>
      <c r="E9" s="5"/>
      <c r="F9" s="5">
        <v>2360</v>
      </c>
      <c r="G9" s="5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 x14ac:dyDescent="0.35">
      <c r="A10" s="57"/>
      <c r="B10" s="6" t="s">
        <v>9</v>
      </c>
      <c r="C10" s="6" t="s">
        <v>10</v>
      </c>
      <c r="D10" s="5" t="s">
        <v>19</v>
      </c>
      <c r="E10" s="5"/>
      <c r="F10" s="5">
        <v>2480</v>
      </c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 x14ac:dyDescent="0.35">
      <c r="A11" s="57"/>
      <c r="B11" s="6" t="s">
        <v>9</v>
      </c>
      <c r="C11" s="6" t="s">
        <v>10</v>
      </c>
      <c r="D11" s="5" t="s">
        <v>20</v>
      </c>
      <c r="E11" s="5"/>
      <c r="F11" s="5">
        <v>2510</v>
      </c>
      <c r="G11" s="5"/>
      <c r="H11" s="5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 x14ac:dyDescent="0.35">
      <c r="A12" s="57"/>
      <c r="B12" s="6" t="s">
        <v>9</v>
      </c>
      <c r="C12" s="6" t="s">
        <v>10</v>
      </c>
      <c r="D12" s="5" t="s">
        <v>21</v>
      </c>
      <c r="E12" s="5"/>
      <c r="F12" s="5">
        <v>3020</v>
      </c>
      <c r="G12" s="5"/>
      <c r="H12" s="5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 x14ac:dyDescent="0.35">
      <c r="A13" s="57"/>
      <c r="B13" s="6" t="s">
        <v>22</v>
      </c>
      <c r="C13" s="6" t="s">
        <v>10</v>
      </c>
      <c r="D13" s="5" t="s">
        <v>11</v>
      </c>
      <c r="E13" s="5"/>
      <c r="F13" s="5">
        <v>1750</v>
      </c>
      <c r="G13" s="5"/>
      <c r="H13" s="5"/>
      <c r="I13" s="4"/>
      <c r="J13" s="59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 x14ac:dyDescent="0.35">
      <c r="A14" s="57"/>
      <c r="B14" s="6" t="s">
        <v>22</v>
      </c>
      <c r="C14" s="6" t="s">
        <v>10</v>
      </c>
      <c r="D14" s="5" t="s">
        <v>12</v>
      </c>
      <c r="E14" s="5"/>
      <c r="F14" s="5">
        <v>1990</v>
      </c>
      <c r="G14" s="5"/>
      <c r="H14" s="5"/>
      <c r="I14" s="4"/>
      <c r="J14" s="5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 x14ac:dyDescent="0.35">
      <c r="A15" s="57"/>
      <c r="B15" s="6" t="s">
        <v>22</v>
      </c>
      <c r="C15" s="6" t="s">
        <v>10</v>
      </c>
      <c r="D15" s="5" t="s">
        <v>13</v>
      </c>
      <c r="E15" s="5"/>
      <c r="F15" s="5">
        <v>2960</v>
      </c>
      <c r="G15" s="5"/>
      <c r="H15" s="5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 x14ac:dyDescent="0.35">
      <c r="A16" s="57"/>
      <c r="B16" s="6" t="s">
        <v>22</v>
      </c>
      <c r="C16" s="6" t="s">
        <v>10</v>
      </c>
      <c r="D16" s="5" t="s">
        <v>14</v>
      </c>
      <c r="E16" s="5"/>
      <c r="F16" s="5">
        <v>2240</v>
      </c>
      <c r="G16" s="5"/>
      <c r="H16" s="5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 x14ac:dyDescent="0.35">
      <c r="A17" s="57"/>
      <c r="B17" s="6" t="s">
        <v>22</v>
      </c>
      <c r="C17" s="6" t="s">
        <v>10</v>
      </c>
      <c r="D17" s="5" t="s">
        <v>15</v>
      </c>
      <c r="E17" s="5"/>
      <c r="F17" s="5">
        <v>2240</v>
      </c>
      <c r="G17" s="5"/>
      <c r="H17" s="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 x14ac:dyDescent="0.35">
      <c r="A18" s="57"/>
      <c r="B18" s="6" t="s">
        <v>22</v>
      </c>
      <c r="C18" s="6" t="s">
        <v>10</v>
      </c>
      <c r="D18" s="5" t="s">
        <v>16</v>
      </c>
      <c r="E18" s="5"/>
      <c r="F18" s="5">
        <v>2300</v>
      </c>
      <c r="G18" s="5"/>
      <c r="H18" s="5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 x14ac:dyDescent="0.35">
      <c r="A19" s="57"/>
      <c r="B19" s="6" t="s">
        <v>22</v>
      </c>
      <c r="C19" s="6" t="s">
        <v>10</v>
      </c>
      <c r="D19" s="5" t="s">
        <v>17</v>
      </c>
      <c r="E19" s="5"/>
      <c r="F19" s="5">
        <v>1990</v>
      </c>
      <c r="G19" s="5"/>
      <c r="H19" s="5"/>
      <c r="I19" s="4"/>
      <c r="J19" s="4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 x14ac:dyDescent="0.35">
      <c r="A20" s="57"/>
      <c r="B20" s="6" t="s">
        <v>22</v>
      </c>
      <c r="C20" s="6" t="s">
        <v>10</v>
      </c>
      <c r="D20" s="5" t="s">
        <v>18</v>
      </c>
      <c r="E20" s="5"/>
      <c r="F20" s="5">
        <v>2120</v>
      </c>
      <c r="G20" s="5"/>
      <c r="H20" s="5"/>
      <c r="I20" s="4"/>
      <c r="J20" s="4"/>
      <c r="K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 x14ac:dyDescent="0.35">
      <c r="A21" s="57"/>
      <c r="B21" s="6" t="s">
        <v>22</v>
      </c>
      <c r="C21" s="6" t="s">
        <v>10</v>
      </c>
      <c r="D21" s="5" t="s">
        <v>19</v>
      </c>
      <c r="E21" s="5"/>
      <c r="F21" s="5">
        <v>2240</v>
      </c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 x14ac:dyDescent="0.35">
      <c r="A22" s="57"/>
      <c r="B22" s="6" t="s">
        <v>22</v>
      </c>
      <c r="C22" s="6" t="s">
        <v>10</v>
      </c>
      <c r="D22" s="5" t="s">
        <v>20</v>
      </c>
      <c r="E22" s="5"/>
      <c r="F22" s="5">
        <v>2270</v>
      </c>
      <c r="G22" s="5"/>
      <c r="H22" s="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 x14ac:dyDescent="0.35">
      <c r="A23" s="57"/>
      <c r="B23" s="6" t="s">
        <v>22</v>
      </c>
      <c r="C23" s="6" t="s">
        <v>10</v>
      </c>
      <c r="D23" s="5" t="s">
        <v>21</v>
      </c>
      <c r="E23" s="5"/>
      <c r="F23" s="5">
        <v>2780</v>
      </c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 x14ac:dyDescent="0.35">
      <c r="A24" s="57" t="s">
        <v>23</v>
      </c>
      <c r="B24" s="6" t="s">
        <v>9</v>
      </c>
      <c r="C24" s="6" t="s">
        <v>10</v>
      </c>
      <c r="D24" s="5" t="s">
        <v>11</v>
      </c>
      <c r="E24" s="5"/>
      <c r="F24" s="5">
        <v>1750</v>
      </c>
      <c r="G24" s="5"/>
      <c r="H24" s="5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 x14ac:dyDescent="0.35">
      <c r="A25" s="57"/>
      <c r="B25" s="6" t="s">
        <v>9</v>
      </c>
      <c r="C25" s="6" t="s">
        <v>10</v>
      </c>
      <c r="D25" s="5" t="s">
        <v>12</v>
      </c>
      <c r="E25" s="5"/>
      <c r="F25" s="5">
        <v>1990</v>
      </c>
      <c r="G25" s="5"/>
      <c r="H25" s="5"/>
      <c r="I25" s="4"/>
      <c r="J25" s="4"/>
      <c r="K25" s="7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 x14ac:dyDescent="0.35">
      <c r="A26" s="57"/>
      <c r="B26" s="6" t="s">
        <v>9</v>
      </c>
      <c r="C26" s="6" t="s">
        <v>10</v>
      </c>
      <c r="D26" s="5" t="s">
        <v>13</v>
      </c>
      <c r="E26" s="5"/>
      <c r="F26" s="5">
        <v>2960</v>
      </c>
      <c r="G26" s="5"/>
      <c r="H26" s="5"/>
      <c r="I26" s="4"/>
      <c r="J26" s="4"/>
      <c r="K26" s="7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35">
      <c r="A27" s="57"/>
      <c r="B27" s="6" t="s">
        <v>9</v>
      </c>
      <c r="C27" s="6" t="s">
        <v>10</v>
      </c>
      <c r="D27" s="5" t="s">
        <v>14</v>
      </c>
      <c r="E27" s="5"/>
      <c r="F27" s="5">
        <v>2240</v>
      </c>
      <c r="G27" s="5"/>
      <c r="H27" s="5"/>
      <c r="I27" s="4"/>
      <c r="J27" s="4"/>
      <c r="K27" s="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 x14ac:dyDescent="0.35">
      <c r="A28" s="57"/>
      <c r="B28" s="6" t="s">
        <v>9</v>
      </c>
      <c r="C28" s="6" t="s">
        <v>10</v>
      </c>
      <c r="D28" s="5" t="s">
        <v>15</v>
      </c>
      <c r="E28" s="5"/>
      <c r="F28" s="5">
        <v>2240</v>
      </c>
      <c r="G28" s="5"/>
      <c r="H28" s="5"/>
      <c r="I28" s="4"/>
      <c r="J28" s="4"/>
      <c r="K28" s="7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 x14ac:dyDescent="0.35">
      <c r="A29" s="57"/>
      <c r="B29" s="6" t="s">
        <v>9</v>
      </c>
      <c r="C29" s="6" t="s">
        <v>10</v>
      </c>
      <c r="D29" s="5" t="s">
        <v>16</v>
      </c>
      <c r="E29" s="5"/>
      <c r="F29" s="5">
        <v>2300</v>
      </c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 x14ac:dyDescent="0.35">
      <c r="A30" s="57"/>
      <c r="B30" s="6" t="s">
        <v>9</v>
      </c>
      <c r="C30" s="6" t="s">
        <v>10</v>
      </c>
      <c r="D30" s="5" t="s">
        <v>17</v>
      </c>
      <c r="E30" s="5"/>
      <c r="F30" s="5">
        <v>1990</v>
      </c>
      <c r="G30" s="5"/>
      <c r="H30" s="5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 x14ac:dyDescent="0.35">
      <c r="A31" s="57"/>
      <c r="B31" s="6" t="s">
        <v>9</v>
      </c>
      <c r="C31" s="6" t="s">
        <v>10</v>
      </c>
      <c r="D31" s="5" t="s">
        <v>18</v>
      </c>
      <c r="E31" s="5"/>
      <c r="F31" s="5">
        <v>2120</v>
      </c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 x14ac:dyDescent="0.35">
      <c r="A32" s="57"/>
      <c r="B32" s="6" t="s">
        <v>9</v>
      </c>
      <c r="C32" s="6" t="s">
        <v>10</v>
      </c>
      <c r="D32" s="5" t="s">
        <v>19</v>
      </c>
      <c r="E32" s="5"/>
      <c r="F32" s="5">
        <v>2240</v>
      </c>
      <c r="G32" s="5"/>
      <c r="H32" s="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 x14ac:dyDescent="0.35">
      <c r="A33" s="57"/>
      <c r="B33" s="6" t="s">
        <v>9</v>
      </c>
      <c r="C33" s="6" t="s">
        <v>10</v>
      </c>
      <c r="D33" s="5" t="s">
        <v>20</v>
      </c>
      <c r="E33" s="5"/>
      <c r="F33" s="5">
        <v>2270</v>
      </c>
      <c r="G33" s="5"/>
      <c r="H33" s="5"/>
      <c r="I33" s="4"/>
      <c r="J33" s="4"/>
      <c r="K33" s="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 x14ac:dyDescent="0.35">
      <c r="A34" s="57"/>
      <c r="B34" s="6" t="s">
        <v>9</v>
      </c>
      <c r="C34" s="6" t="s">
        <v>10</v>
      </c>
      <c r="D34" s="5" t="s">
        <v>21</v>
      </c>
      <c r="E34" s="5"/>
      <c r="F34" s="5">
        <v>2780</v>
      </c>
      <c r="G34" s="5"/>
      <c r="H34" s="5"/>
      <c r="I34" s="4"/>
      <c r="J34" s="4"/>
      <c r="K34" s="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 x14ac:dyDescent="0.35">
      <c r="A35" s="57"/>
      <c r="B35" s="6" t="s">
        <v>9</v>
      </c>
      <c r="C35" s="6" t="s">
        <v>24</v>
      </c>
      <c r="D35" s="5" t="s">
        <v>18</v>
      </c>
      <c r="E35" s="5"/>
      <c r="F35" s="5">
        <v>2420</v>
      </c>
      <c r="G35" s="5"/>
      <c r="H35" s="5"/>
      <c r="I35" s="4"/>
      <c r="J35" s="4"/>
      <c r="K35" s="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 x14ac:dyDescent="0.35">
      <c r="A36" s="57"/>
      <c r="B36" s="6" t="s">
        <v>9</v>
      </c>
      <c r="C36" s="6" t="s">
        <v>24</v>
      </c>
      <c r="D36" s="5" t="s">
        <v>19</v>
      </c>
      <c r="E36" s="5"/>
      <c r="F36" s="5">
        <v>2540</v>
      </c>
      <c r="G36" s="5"/>
      <c r="H36" s="5"/>
      <c r="I36" s="4"/>
      <c r="J36" s="4"/>
      <c r="K36" s="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 x14ac:dyDescent="0.35">
      <c r="A37" s="57"/>
      <c r="B37" s="6" t="s">
        <v>22</v>
      </c>
      <c r="C37" s="6" t="s">
        <v>10</v>
      </c>
      <c r="D37" s="5" t="s">
        <v>11</v>
      </c>
      <c r="E37" s="5"/>
      <c r="F37" s="5">
        <v>1630</v>
      </c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 x14ac:dyDescent="0.35">
      <c r="A38" s="57"/>
      <c r="B38" s="6" t="s">
        <v>22</v>
      </c>
      <c r="C38" s="6" t="s">
        <v>10</v>
      </c>
      <c r="D38" s="5" t="s">
        <v>12</v>
      </c>
      <c r="E38" s="5"/>
      <c r="F38" s="5">
        <v>1870</v>
      </c>
      <c r="G38" s="5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 x14ac:dyDescent="0.35">
      <c r="A39" s="57"/>
      <c r="B39" s="6" t="s">
        <v>22</v>
      </c>
      <c r="C39" s="6" t="s">
        <v>10</v>
      </c>
      <c r="D39" s="5" t="s">
        <v>13</v>
      </c>
      <c r="E39" s="5"/>
      <c r="F39" s="5">
        <v>2840</v>
      </c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 x14ac:dyDescent="0.35">
      <c r="A40" s="57"/>
      <c r="B40" s="6" t="s">
        <v>22</v>
      </c>
      <c r="C40" s="6" t="s">
        <v>10</v>
      </c>
      <c r="D40" s="5" t="s">
        <v>14</v>
      </c>
      <c r="E40" s="5"/>
      <c r="F40" s="5">
        <v>2120</v>
      </c>
      <c r="G40" s="5"/>
      <c r="H40" s="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 x14ac:dyDescent="0.35">
      <c r="A41" s="57"/>
      <c r="B41" s="6" t="s">
        <v>22</v>
      </c>
      <c r="C41" s="6" t="s">
        <v>10</v>
      </c>
      <c r="D41" s="5" t="s">
        <v>15</v>
      </c>
      <c r="E41" s="5"/>
      <c r="F41" s="5">
        <v>2120</v>
      </c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 x14ac:dyDescent="0.35">
      <c r="A42" s="57"/>
      <c r="B42" s="6" t="s">
        <v>22</v>
      </c>
      <c r="C42" s="6" t="s">
        <v>10</v>
      </c>
      <c r="D42" s="5" t="s">
        <v>16</v>
      </c>
      <c r="E42" s="5"/>
      <c r="F42" s="5">
        <v>2180</v>
      </c>
      <c r="G42" s="5"/>
      <c r="H42" s="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 x14ac:dyDescent="0.35">
      <c r="A43" s="57"/>
      <c r="B43" s="6" t="s">
        <v>22</v>
      </c>
      <c r="C43" s="6" t="s">
        <v>10</v>
      </c>
      <c r="D43" s="5" t="s">
        <v>17</v>
      </c>
      <c r="E43" s="5"/>
      <c r="F43" s="5">
        <v>1870</v>
      </c>
      <c r="G43" s="5"/>
      <c r="H43" s="5"/>
      <c r="I43" s="4"/>
      <c r="J43" s="4"/>
      <c r="K43" s="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 x14ac:dyDescent="0.35">
      <c r="A44" s="57"/>
      <c r="B44" s="6" t="s">
        <v>22</v>
      </c>
      <c r="C44" s="6" t="s">
        <v>10</v>
      </c>
      <c r="D44" s="5" t="s">
        <v>18</v>
      </c>
      <c r="E44" s="5"/>
      <c r="F44" s="5">
        <v>2000</v>
      </c>
      <c r="G44" s="5"/>
      <c r="H44" s="5"/>
      <c r="I44" s="4"/>
      <c r="J44" s="4"/>
      <c r="K44" s="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 x14ac:dyDescent="0.35">
      <c r="A45" s="57"/>
      <c r="B45" s="6" t="s">
        <v>22</v>
      </c>
      <c r="C45" s="6" t="s">
        <v>10</v>
      </c>
      <c r="D45" s="5" t="s">
        <v>19</v>
      </c>
      <c r="E45" s="5"/>
      <c r="F45" s="5">
        <v>2120</v>
      </c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 x14ac:dyDescent="0.35">
      <c r="A46" s="57"/>
      <c r="B46" s="6" t="s">
        <v>22</v>
      </c>
      <c r="C46" s="6" t="s">
        <v>10</v>
      </c>
      <c r="D46" s="5" t="s">
        <v>20</v>
      </c>
      <c r="E46" s="5"/>
      <c r="F46" s="5">
        <v>2150</v>
      </c>
      <c r="G46" s="5"/>
      <c r="H46" s="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 x14ac:dyDescent="0.35">
      <c r="A47" s="57"/>
      <c r="B47" s="6" t="s">
        <v>22</v>
      </c>
      <c r="C47" s="6" t="s">
        <v>10</v>
      </c>
      <c r="D47" s="5" t="s">
        <v>21</v>
      </c>
      <c r="E47" s="5"/>
      <c r="F47" s="5">
        <v>2660</v>
      </c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 x14ac:dyDescent="0.35">
      <c r="A48" s="57"/>
      <c r="B48" s="6" t="s">
        <v>22</v>
      </c>
      <c r="C48" s="6" t="s">
        <v>24</v>
      </c>
      <c r="D48" s="5" t="s">
        <v>18</v>
      </c>
      <c r="E48" s="5"/>
      <c r="F48" s="5">
        <v>2300</v>
      </c>
      <c r="G48" s="5"/>
      <c r="H48" s="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 x14ac:dyDescent="0.35">
      <c r="A49" s="57"/>
      <c r="B49" s="6" t="s">
        <v>22</v>
      </c>
      <c r="C49" s="6" t="s">
        <v>24</v>
      </c>
      <c r="D49" s="5" t="s">
        <v>19</v>
      </c>
      <c r="E49" s="5"/>
      <c r="F49" s="5">
        <v>2420</v>
      </c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 x14ac:dyDescent="0.35">
      <c r="A50" s="57" t="s">
        <v>25</v>
      </c>
      <c r="B50" s="6" t="s">
        <v>22</v>
      </c>
      <c r="C50" s="6" t="s">
        <v>10</v>
      </c>
      <c r="D50" s="5" t="s">
        <v>11</v>
      </c>
      <c r="E50" s="5"/>
      <c r="F50" s="5">
        <v>1450</v>
      </c>
      <c r="G50" s="5"/>
      <c r="H50" s="5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 x14ac:dyDescent="0.35">
      <c r="A51" s="57"/>
      <c r="B51" s="6" t="s">
        <v>22</v>
      </c>
      <c r="C51" s="6" t="s">
        <v>10</v>
      </c>
      <c r="D51" s="5" t="s">
        <v>12</v>
      </c>
      <c r="E51" s="5"/>
      <c r="F51" s="5">
        <v>1690</v>
      </c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 x14ac:dyDescent="0.35">
      <c r="A52" s="57"/>
      <c r="B52" s="6" t="s">
        <v>22</v>
      </c>
      <c r="C52" s="6" t="s">
        <v>10</v>
      </c>
      <c r="D52" s="5" t="s">
        <v>13</v>
      </c>
      <c r="E52" s="5"/>
      <c r="F52" s="5">
        <v>2660</v>
      </c>
      <c r="G52" s="5"/>
      <c r="H52" s="5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 x14ac:dyDescent="0.35">
      <c r="A53" s="57"/>
      <c r="B53" s="6" t="s">
        <v>22</v>
      </c>
      <c r="C53" s="6" t="s">
        <v>10</v>
      </c>
      <c r="D53" s="5" t="s">
        <v>14</v>
      </c>
      <c r="E53" s="5"/>
      <c r="F53" s="5">
        <v>1940</v>
      </c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 x14ac:dyDescent="0.35">
      <c r="A54" s="57"/>
      <c r="B54" s="6" t="s">
        <v>22</v>
      </c>
      <c r="C54" s="6" t="s">
        <v>10</v>
      </c>
      <c r="D54" s="5" t="s">
        <v>15</v>
      </c>
      <c r="E54" s="5"/>
      <c r="F54" s="5">
        <v>1940</v>
      </c>
      <c r="G54" s="5"/>
      <c r="H54" s="5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 x14ac:dyDescent="0.35">
      <c r="A55" s="57"/>
      <c r="B55" s="6" t="s">
        <v>22</v>
      </c>
      <c r="C55" s="6" t="s">
        <v>10</v>
      </c>
      <c r="D55" s="5" t="s">
        <v>16</v>
      </c>
      <c r="E55" s="5"/>
      <c r="F55" s="5">
        <v>2000</v>
      </c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 x14ac:dyDescent="0.35">
      <c r="A56" s="57"/>
      <c r="B56" s="6" t="s">
        <v>22</v>
      </c>
      <c r="C56" s="6" t="s">
        <v>10</v>
      </c>
      <c r="D56" s="5" t="s">
        <v>17</v>
      </c>
      <c r="E56" s="5"/>
      <c r="F56" s="5">
        <v>1690</v>
      </c>
      <c r="G56" s="5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 x14ac:dyDescent="0.35">
      <c r="A57" s="57"/>
      <c r="B57" s="6" t="s">
        <v>22</v>
      </c>
      <c r="C57" s="6" t="s">
        <v>10</v>
      </c>
      <c r="D57" s="5" t="s">
        <v>21</v>
      </c>
      <c r="E57" s="5"/>
      <c r="F57" s="5">
        <v>2480</v>
      </c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 x14ac:dyDescent="0.35">
      <c r="A58" s="60" t="s">
        <v>26</v>
      </c>
      <c r="B58" s="6" t="s">
        <v>27</v>
      </c>
      <c r="C58" s="6" t="s">
        <v>10</v>
      </c>
      <c r="D58" s="5" t="s">
        <v>28</v>
      </c>
      <c r="E58" s="5"/>
      <c r="F58" s="5">
        <v>1570</v>
      </c>
      <c r="G58" s="5"/>
      <c r="H58" s="5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 x14ac:dyDescent="0.35">
      <c r="A59" s="60"/>
      <c r="B59" s="6" t="s">
        <v>27</v>
      </c>
      <c r="C59" s="6" t="s">
        <v>10</v>
      </c>
      <c r="D59" s="5" t="s">
        <v>29</v>
      </c>
      <c r="E59" s="5"/>
      <c r="F59" s="5">
        <v>1690</v>
      </c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 x14ac:dyDescent="0.35">
      <c r="A60" s="60"/>
      <c r="B60" s="6" t="s">
        <v>27</v>
      </c>
      <c r="C60" s="6" t="s">
        <v>10</v>
      </c>
      <c r="D60" s="5" t="s">
        <v>30</v>
      </c>
      <c r="E60" s="5"/>
      <c r="F60" s="5">
        <v>1810</v>
      </c>
      <c r="G60" s="5"/>
      <c r="H60" s="5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 x14ac:dyDescent="0.35">
      <c r="A61" s="60"/>
      <c r="B61" s="6" t="s">
        <v>27</v>
      </c>
      <c r="C61" s="6" t="s">
        <v>10</v>
      </c>
      <c r="D61" s="5" t="s">
        <v>13</v>
      </c>
      <c r="E61" s="5"/>
      <c r="F61" s="5">
        <v>2780</v>
      </c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 x14ac:dyDescent="0.35">
      <c r="A62" s="60"/>
      <c r="B62" s="6" t="s">
        <v>27</v>
      </c>
      <c r="C62" s="6" t="s">
        <v>10</v>
      </c>
      <c r="D62" s="5" t="s">
        <v>31</v>
      </c>
      <c r="E62" s="5"/>
      <c r="F62" s="5">
        <v>2060</v>
      </c>
      <c r="G62" s="5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 x14ac:dyDescent="0.35">
      <c r="A63" s="60"/>
      <c r="B63" s="6" t="s">
        <v>27</v>
      </c>
      <c r="C63" s="6" t="s">
        <v>10</v>
      </c>
      <c r="D63" s="5" t="s">
        <v>15</v>
      </c>
      <c r="E63" s="5"/>
      <c r="F63" s="5">
        <v>2060</v>
      </c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 x14ac:dyDescent="0.35">
      <c r="A64" s="60"/>
      <c r="B64" s="6" t="s">
        <v>27</v>
      </c>
      <c r="C64" s="6" t="s">
        <v>10</v>
      </c>
      <c r="D64" s="5" t="s">
        <v>16</v>
      </c>
      <c r="E64" s="5"/>
      <c r="F64" s="5">
        <v>2120</v>
      </c>
      <c r="G64" s="5"/>
      <c r="H64" s="5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 x14ac:dyDescent="0.35">
      <c r="A65" s="60"/>
      <c r="B65" s="6" t="s">
        <v>27</v>
      </c>
      <c r="C65" s="6" t="s">
        <v>10</v>
      </c>
      <c r="D65" s="5" t="s">
        <v>17</v>
      </c>
      <c r="E65" s="5"/>
      <c r="F65" s="5">
        <v>1810</v>
      </c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 x14ac:dyDescent="0.35">
      <c r="A66" s="60"/>
      <c r="B66" s="6" t="s">
        <v>27</v>
      </c>
      <c r="C66" s="6" t="s">
        <v>10</v>
      </c>
      <c r="D66" s="5" t="s">
        <v>18</v>
      </c>
      <c r="E66" s="5"/>
      <c r="F66" s="5">
        <v>1940</v>
      </c>
      <c r="G66" s="5"/>
      <c r="H66" s="5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 x14ac:dyDescent="0.35">
      <c r="A67" s="60"/>
      <c r="B67" s="6" t="s">
        <v>27</v>
      </c>
      <c r="C67" s="6" t="s">
        <v>10</v>
      </c>
      <c r="D67" s="5" t="s">
        <v>19</v>
      </c>
      <c r="E67" s="5"/>
      <c r="F67" s="5">
        <v>2060</v>
      </c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 x14ac:dyDescent="0.35">
      <c r="A68" s="60"/>
      <c r="B68" s="6" t="s">
        <v>27</v>
      </c>
      <c r="C68" s="6" t="s">
        <v>10</v>
      </c>
      <c r="D68" s="5" t="s">
        <v>20</v>
      </c>
      <c r="E68" s="5"/>
      <c r="F68" s="5">
        <v>2090</v>
      </c>
      <c r="G68" s="5"/>
      <c r="H68" s="5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 x14ac:dyDescent="0.35">
      <c r="A69" s="60"/>
      <c r="B69" s="6" t="s">
        <v>27</v>
      </c>
      <c r="C69" s="6" t="s">
        <v>10</v>
      </c>
      <c r="D69" s="5" t="s">
        <v>21</v>
      </c>
      <c r="E69" s="5"/>
      <c r="F69" s="5">
        <v>2600</v>
      </c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 x14ac:dyDescent="0.35">
      <c r="A70" s="60"/>
      <c r="B70" s="6" t="s">
        <v>27</v>
      </c>
      <c r="C70" s="6" t="s">
        <v>32</v>
      </c>
      <c r="D70" s="5" t="s">
        <v>18</v>
      </c>
      <c r="E70" s="5"/>
      <c r="F70" s="5">
        <v>2240</v>
      </c>
      <c r="G70" s="5"/>
      <c r="H70" s="5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 x14ac:dyDescent="0.35">
      <c r="A71" s="60"/>
      <c r="B71" s="6" t="s">
        <v>27</v>
      </c>
      <c r="C71" s="6" t="s">
        <v>32</v>
      </c>
      <c r="D71" s="5" t="s">
        <v>19</v>
      </c>
      <c r="E71" s="5"/>
      <c r="F71" s="5">
        <v>2360</v>
      </c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 x14ac:dyDescent="0.35">
      <c r="A72" s="60"/>
      <c r="B72" s="6" t="s">
        <v>27</v>
      </c>
      <c r="C72" s="6" t="s">
        <v>32</v>
      </c>
      <c r="D72" s="5" t="s">
        <v>33</v>
      </c>
      <c r="E72" s="5"/>
      <c r="F72" s="5">
        <v>2300</v>
      </c>
      <c r="G72" s="5"/>
      <c r="H72" s="5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 x14ac:dyDescent="0.35">
      <c r="A73" s="60"/>
      <c r="B73" s="6" t="s">
        <v>27</v>
      </c>
      <c r="C73" s="6" t="s">
        <v>32</v>
      </c>
      <c r="D73" s="5" t="s">
        <v>34</v>
      </c>
      <c r="E73" s="5"/>
      <c r="F73" s="5">
        <v>2600</v>
      </c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 x14ac:dyDescent="0.35">
      <c r="A74" s="60"/>
      <c r="B74" s="6" t="s">
        <v>27</v>
      </c>
      <c r="C74" s="6" t="s">
        <v>32</v>
      </c>
      <c r="D74" s="5" t="s">
        <v>35</v>
      </c>
      <c r="E74" s="5"/>
      <c r="F74" s="5">
        <v>2720</v>
      </c>
      <c r="G74" s="5"/>
      <c r="H74" s="5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 x14ac:dyDescent="0.35">
      <c r="A75" s="60"/>
      <c r="B75" s="6" t="s">
        <v>27</v>
      </c>
      <c r="C75" s="9" t="s">
        <v>36</v>
      </c>
      <c r="D75" s="5" t="s">
        <v>37</v>
      </c>
      <c r="E75" s="4"/>
      <c r="F75" s="5">
        <f>(G75/H75)</f>
        <v>82280</v>
      </c>
      <c r="G75" s="5">
        <v>82280</v>
      </c>
      <c r="H75" s="5">
        <v>1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 x14ac:dyDescent="0.35">
      <c r="A76" s="60"/>
      <c r="B76" s="6" t="s">
        <v>27</v>
      </c>
      <c r="C76" s="9" t="s">
        <v>36</v>
      </c>
      <c r="D76" s="5" t="s">
        <v>38</v>
      </c>
      <c r="E76" s="4"/>
      <c r="F76" s="23">
        <f t="shared" ref="F76:F82" si="0">(G76/H76)</f>
        <v>91960</v>
      </c>
      <c r="G76" s="5">
        <v>91960</v>
      </c>
      <c r="H76" s="5">
        <v>1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 x14ac:dyDescent="0.35">
      <c r="A77" s="60"/>
      <c r="B77" s="6" t="s">
        <v>27</v>
      </c>
      <c r="C77" s="9" t="s">
        <v>39</v>
      </c>
      <c r="D77" s="5" t="s">
        <v>40</v>
      </c>
      <c r="E77" s="4"/>
      <c r="F77" s="23">
        <f t="shared" si="0"/>
        <v>174240</v>
      </c>
      <c r="G77" s="5">
        <v>174240</v>
      </c>
      <c r="H77" s="5">
        <v>1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 x14ac:dyDescent="0.35">
      <c r="A78" s="60"/>
      <c r="B78" s="6" t="s">
        <v>27</v>
      </c>
      <c r="C78" s="9" t="s">
        <v>41</v>
      </c>
      <c r="D78" s="5" t="s">
        <v>42</v>
      </c>
      <c r="E78" s="4"/>
      <c r="F78" s="23">
        <f t="shared" si="0"/>
        <v>393250</v>
      </c>
      <c r="G78" s="5">
        <v>393250</v>
      </c>
      <c r="H78" s="5">
        <v>1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 x14ac:dyDescent="0.35">
      <c r="A79" s="60"/>
      <c r="B79" s="6" t="s">
        <v>27</v>
      </c>
      <c r="C79" s="9" t="s">
        <v>43</v>
      </c>
      <c r="D79" s="5" t="s">
        <v>44</v>
      </c>
      <c r="E79" s="4"/>
      <c r="F79" s="23">
        <f t="shared" si="0"/>
        <v>1450</v>
      </c>
      <c r="G79" s="5">
        <v>1450</v>
      </c>
      <c r="H79" s="5">
        <v>1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 x14ac:dyDescent="0.35">
      <c r="A80" s="60"/>
      <c r="B80" s="6" t="s">
        <v>27</v>
      </c>
      <c r="C80" s="9" t="s">
        <v>45</v>
      </c>
      <c r="D80" s="5" t="s">
        <v>46</v>
      </c>
      <c r="E80" s="4"/>
      <c r="F80" s="23">
        <f t="shared" si="0"/>
        <v>3030</v>
      </c>
      <c r="G80" s="5">
        <v>3030</v>
      </c>
      <c r="H80" s="5">
        <v>1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 x14ac:dyDescent="0.35">
      <c r="A81" s="60"/>
      <c r="B81" s="6" t="s">
        <v>27</v>
      </c>
      <c r="C81" s="9" t="s">
        <v>47</v>
      </c>
      <c r="D81" s="5" t="s">
        <v>46</v>
      </c>
      <c r="E81" s="4"/>
      <c r="F81" s="23">
        <f t="shared" si="0"/>
        <v>2180</v>
      </c>
      <c r="G81" s="5">
        <v>2180</v>
      </c>
      <c r="H81" s="5">
        <v>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 x14ac:dyDescent="0.35">
      <c r="A82" s="60"/>
      <c r="B82" s="6" t="s">
        <v>27</v>
      </c>
      <c r="C82" s="9" t="s">
        <v>48</v>
      </c>
      <c r="D82" s="5" t="s">
        <v>49</v>
      </c>
      <c r="E82" s="4"/>
      <c r="F82" s="23">
        <f t="shared" si="0"/>
        <v>1820</v>
      </c>
      <c r="G82" s="5">
        <v>1820</v>
      </c>
      <c r="H82" s="5">
        <v>1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 x14ac:dyDescent="0.35">
      <c r="A83" s="60"/>
      <c r="B83" s="6" t="s">
        <v>50</v>
      </c>
      <c r="C83" s="6" t="s">
        <v>10</v>
      </c>
      <c r="D83" s="5" t="s">
        <v>28</v>
      </c>
      <c r="E83" s="5"/>
      <c r="F83" s="5">
        <v>1450</v>
      </c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 x14ac:dyDescent="0.35">
      <c r="A84" s="60"/>
      <c r="B84" s="6" t="s">
        <v>50</v>
      </c>
      <c r="C84" s="6" t="s">
        <v>10</v>
      </c>
      <c r="D84" s="5" t="s">
        <v>29</v>
      </c>
      <c r="E84" s="5"/>
      <c r="F84" s="5">
        <v>1570</v>
      </c>
      <c r="G84" s="5"/>
      <c r="H84" s="5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 x14ac:dyDescent="0.35">
      <c r="A85" s="60"/>
      <c r="B85" s="6" t="s">
        <v>50</v>
      </c>
      <c r="C85" s="6" t="s">
        <v>10</v>
      </c>
      <c r="D85" s="5" t="s">
        <v>30</v>
      </c>
      <c r="E85" s="5"/>
      <c r="F85" s="5">
        <v>1690</v>
      </c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 x14ac:dyDescent="0.35">
      <c r="A86" s="60"/>
      <c r="B86" s="6" t="s">
        <v>50</v>
      </c>
      <c r="C86" s="6" t="s">
        <v>10</v>
      </c>
      <c r="D86" s="5" t="s">
        <v>13</v>
      </c>
      <c r="E86" s="5"/>
      <c r="F86" s="5">
        <v>2660</v>
      </c>
      <c r="G86" s="5"/>
      <c r="H86" s="5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 x14ac:dyDescent="0.35">
      <c r="A87" s="60"/>
      <c r="B87" s="6" t="s">
        <v>50</v>
      </c>
      <c r="C87" s="6" t="s">
        <v>10</v>
      </c>
      <c r="D87" s="5" t="s">
        <v>31</v>
      </c>
      <c r="E87" s="5"/>
      <c r="F87" s="5">
        <v>1940</v>
      </c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 x14ac:dyDescent="0.35">
      <c r="A88" s="60"/>
      <c r="B88" s="6" t="s">
        <v>50</v>
      </c>
      <c r="C88" s="6" t="s">
        <v>10</v>
      </c>
      <c r="D88" s="5" t="s">
        <v>15</v>
      </c>
      <c r="E88" s="5"/>
      <c r="F88" s="5">
        <v>1940</v>
      </c>
      <c r="G88" s="5"/>
      <c r="H88" s="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 x14ac:dyDescent="0.35">
      <c r="A89" s="60"/>
      <c r="B89" s="6" t="s">
        <v>50</v>
      </c>
      <c r="C89" s="6" t="s">
        <v>10</v>
      </c>
      <c r="D89" s="5" t="s">
        <v>16</v>
      </c>
      <c r="E89" s="5"/>
      <c r="F89" s="5">
        <v>2000</v>
      </c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 x14ac:dyDescent="0.35">
      <c r="A90" s="60"/>
      <c r="B90" s="6" t="s">
        <v>50</v>
      </c>
      <c r="C90" s="6" t="s">
        <v>10</v>
      </c>
      <c r="D90" s="5" t="s">
        <v>17</v>
      </c>
      <c r="E90" s="5"/>
      <c r="F90" s="5">
        <v>1690</v>
      </c>
      <c r="G90" s="5"/>
      <c r="H90" s="5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 x14ac:dyDescent="0.35">
      <c r="A91" s="60"/>
      <c r="B91" s="6" t="s">
        <v>50</v>
      </c>
      <c r="C91" s="6" t="s">
        <v>10</v>
      </c>
      <c r="D91" s="5" t="s">
        <v>18</v>
      </c>
      <c r="E91" s="5"/>
      <c r="F91" s="5">
        <v>1820</v>
      </c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 x14ac:dyDescent="0.35">
      <c r="A92" s="60"/>
      <c r="B92" s="6" t="s">
        <v>50</v>
      </c>
      <c r="C92" s="6" t="s">
        <v>10</v>
      </c>
      <c r="D92" s="5" t="s">
        <v>19</v>
      </c>
      <c r="E92" s="5"/>
      <c r="F92" s="5">
        <v>1940</v>
      </c>
      <c r="G92" s="5"/>
      <c r="H92" s="5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 x14ac:dyDescent="0.35">
      <c r="A93" s="60"/>
      <c r="B93" s="6" t="s">
        <v>50</v>
      </c>
      <c r="C93" s="6" t="s">
        <v>10</v>
      </c>
      <c r="D93" s="5" t="s">
        <v>20</v>
      </c>
      <c r="E93" s="5"/>
      <c r="F93" s="5">
        <v>1970</v>
      </c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 x14ac:dyDescent="0.35">
      <c r="A94" s="60"/>
      <c r="B94" s="6" t="s">
        <v>50</v>
      </c>
      <c r="C94" s="6" t="s">
        <v>10</v>
      </c>
      <c r="D94" s="5" t="s">
        <v>21</v>
      </c>
      <c r="E94" s="5"/>
      <c r="F94" s="5">
        <v>2480</v>
      </c>
      <c r="G94" s="5"/>
      <c r="H94" s="5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 x14ac:dyDescent="0.35">
      <c r="A95" s="60"/>
      <c r="B95" s="6" t="s">
        <v>50</v>
      </c>
      <c r="C95" s="6" t="s">
        <v>32</v>
      </c>
      <c r="D95" s="5" t="s">
        <v>18</v>
      </c>
      <c r="E95" s="5"/>
      <c r="F95" s="5">
        <v>2120</v>
      </c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 x14ac:dyDescent="0.35">
      <c r="A96" s="60"/>
      <c r="B96" s="6" t="s">
        <v>50</v>
      </c>
      <c r="C96" s="6" t="s">
        <v>32</v>
      </c>
      <c r="D96" s="5" t="s">
        <v>19</v>
      </c>
      <c r="E96" s="5"/>
      <c r="F96" s="5">
        <v>2240</v>
      </c>
      <c r="G96" s="5"/>
      <c r="H96" s="5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 x14ac:dyDescent="0.35">
      <c r="A97" s="60"/>
      <c r="B97" s="6" t="s">
        <v>50</v>
      </c>
      <c r="C97" s="6" t="s">
        <v>32</v>
      </c>
      <c r="D97" s="5" t="s">
        <v>33</v>
      </c>
      <c r="E97" s="5"/>
      <c r="F97" s="5">
        <v>2180</v>
      </c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 x14ac:dyDescent="0.35">
      <c r="A98" s="60"/>
      <c r="B98" s="6" t="s">
        <v>50</v>
      </c>
      <c r="C98" s="6" t="s">
        <v>32</v>
      </c>
      <c r="D98" s="5" t="s">
        <v>34</v>
      </c>
      <c r="E98" s="5"/>
      <c r="F98" s="5">
        <v>2480</v>
      </c>
      <c r="G98" s="5"/>
      <c r="H98" s="5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 x14ac:dyDescent="0.35">
      <c r="A99" s="60"/>
      <c r="B99" s="6" t="s">
        <v>50</v>
      </c>
      <c r="C99" s="6" t="s">
        <v>32</v>
      </c>
      <c r="D99" s="5" t="s">
        <v>35</v>
      </c>
      <c r="E99" s="5"/>
      <c r="F99" s="5">
        <v>2600</v>
      </c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 x14ac:dyDescent="0.35">
      <c r="A100" s="60"/>
      <c r="B100" s="6" t="s">
        <v>50</v>
      </c>
      <c r="C100" s="9" t="s">
        <v>36</v>
      </c>
      <c r="D100" s="5" t="s">
        <v>37</v>
      </c>
      <c r="E100" s="4"/>
      <c r="F100" s="23">
        <f>(G100/H100)</f>
        <v>82280</v>
      </c>
      <c r="G100" s="5">
        <v>82280</v>
      </c>
      <c r="H100" s="5">
        <v>1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 x14ac:dyDescent="0.35">
      <c r="A101" s="60"/>
      <c r="B101" s="6" t="s">
        <v>50</v>
      </c>
      <c r="C101" s="9" t="s">
        <v>36</v>
      </c>
      <c r="D101" s="5" t="s">
        <v>38</v>
      </c>
      <c r="E101" s="4"/>
      <c r="F101" s="23">
        <f t="shared" ref="F101:F107" si="1">(G101/H101)</f>
        <v>91960</v>
      </c>
      <c r="G101" s="5">
        <v>91960</v>
      </c>
      <c r="H101" s="5">
        <v>1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 x14ac:dyDescent="0.35">
      <c r="A102" s="60"/>
      <c r="B102" s="6" t="s">
        <v>50</v>
      </c>
      <c r="C102" s="9" t="s">
        <v>39</v>
      </c>
      <c r="D102" s="5" t="s">
        <v>40</v>
      </c>
      <c r="E102" s="4"/>
      <c r="F102" s="23">
        <f t="shared" si="1"/>
        <v>174240</v>
      </c>
      <c r="G102" s="5">
        <v>174240</v>
      </c>
      <c r="H102" s="5">
        <v>1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 x14ac:dyDescent="0.35">
      <c r="A103" s="60"/>
      <c r="B103" s="6" t="s">
        <v>50</v>
      </c>
      <c r="C103" s="9" t="s">
        <v>41</v>
      </c>
      <c r="D103" s="5" t="s">
        <v>42</v>
      </c>
      <c r="E103" s="4"/>
      <c r="F103" s="23">
        <f t="shared" si="1"/>
        <v>393250</v>
      </c>
      <c r="G103" s="5">
        <v>393250</v>
      </c>
      <c r="H103" s="5">
        <v>1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 x14ac:dyDescent="0.35">
      <c r="A104" s="60"/>
      <c r="B104" s="6" t="s">
        <v>50</v>
      </c>
      <c r="C104" s="9" t="s">
        <v>43</v>
      </c>
      <c r="D104" s="5" t="s">
        <v>44</v>
      </c>
      <c r="E104" s="4"/>
      <c r="F104" s="23">
        <f t="shared" si="1"/>
        <v>1450</v>
      </c>
      <c r="G104" s="5">
        <v>1450</v>
      </c>
      <c r="H104" s="5">
        <v>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 x14ac:dyDescent="0.35">
      <c r="A105" s="60"/>
      <c r="B105" s="6" t="s">
        <v>50</v>
      </c>
      <c r="C105" s="9" t="s">
        <v>45</v>
      </c>
      <c r="D105" s="5" t="s">
        <v>46</v>
      </c>
      <c r="E105" s="4"/>
      <c r="F105" s="23">
        <f t="shared" si="1"/>
        <v>3030</v>
      </c>
      <c r="G105" s="5">
        <v>3030</v>
      </c>
      <c r="H105" s="5">
        <v>1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 x14ac:dyDescent="0.35">
      <c r="A106" s="60"/>
      <c r="B106" s="6" t="s">
        <v>50</v>
      </c>
      <c r="C106" s="9" t="s">
        <v>47</v>
      </c>
      <c r="D106" s="5" t="s">
        <v>46</v>
      </c>
      <c r="E106" s="4"/>
      <c r="F106" s="23">
        <f t="shared" si="1"/>
        <v>2180</v>
      </c>
      <c r="G106" s="5">
        <v>2180</v>
      </c>
      <c r="H106" s="5">
        <v>1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 x14ac:dyDescent="0.35">
      <c r="A107" s="60"/>
      <c r="B107" s="6" t="s">
        <v>50</v>
      </c>
      <c r="C107" s="9" t="s">
        <v>48</v>
      </c>
      <c r="D107" s="5" t="s">
        <v>49</v>
      </c>
      <c r="E107" s="4"/>
      <c r="F107" s="23">
        <f t="shared" si="1"/>
        <v>1820</v>
      </c>
      <c r="G107" s="5">
        <v>1820</v>
      </c>
      <c r="H107" s="5">
        <v>1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 x14ac:dyDescent="0.35">
      <c r="A108" s="60"/>
      <c r="B108" s="6" t="s">
        <v>22</v>
      </c>
      <c r="C108" s="6" t="s">
        <v>10</v>
      </c>
      <c r="D108" s="5" t="s">
        <v>28</v>
      </c>
      <c r="E108" s="5"/>
      <c r="F108" s="10">
        <f t="shared" ref="F108:F116" si="2">1390+E108</f>
        <v>1390</v>
      </c>
      <c r="G108" s="5"/>
      <c r="H108" s="5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 x14ac:dyDescent="0.35">
      <c r="A109" s="60"/>
      <c r="B109" s="6" t="s">
        <v>22</v>
      </c>
      <c r="C109" s="6" t="s">
        <v>10</v>
      </c>
      <c r="D109" s="5" t="s">
        <v>29</v>
      </c>
      <c r="E109" s="5"/>
      <c r="F109" s="10">
        <f t="shared" si="2"/>
        <v>1390</v>
      </c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 x14ac:dyDescent="0.35">
      <c r="A110" s="60"/>
      <c r="B110" s="6" t="s">
        <v>22</v>
      </c>
      <c r="C110" s="6" t="s">
        <v>10</v>
      </c>
      <c r="D110" s="5" t="s">
        <v>30</v>
      </c>
      <c r="E110" s="5"/>
      <c r="F110" s="10">
        <f t="shared" si="2"/>
        <v>1390</v>
      </c>
      <c r="G110" s="5"/>
      <c r="H110" s="5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 x14ac:dyDescent="0.35">
      <c r="A111" s="60"/>
      <c r="B111" s="6" t="s">
        <v>22</v>
      </c>
      <c r="C111" s="6" t="s">
        <v>10</v>
      </c>
      <c r="D111" s="5" t="s">
        <v>13</v>
      </c>
      <c r="E111" s="5"/>
      <c r="F111" s="10">
        <f t="shared" si="2"/>
        <v>1390</v>
      </c>
      <c r="G111" s="5"/>
      <c r="H111" s="5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 x14ac:dyDescent="0.35">
      <c r="A112" s="60"/>
      <c r="B112" s="6" t="s">
        <v>22</v>
      </c>
      <c r="C112" s="6" t="s">
        <v>10</v>
      </c>
      <c r="D112" s="5" t="s">
        <v>31</v>
      </c>
      <c r="E112" s="5"/>
      <c r="F112" s="10">
        <f t="shared" si="2"/>
        <v>1390</v>
      </c>
      <c r="G112" s="5"/>
      <c r="H112" s="5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 x14ac:dyDescent="0.35">
      <c r="A113" s="60"/>
      <c r="B113" s="6" t="s">
        <v>22</v>
      </c>
      <c r="C113" s="6" t="s">
        <v>10</v>
      </c>
      <c r="D113" s="5" t="s">
        <v>15</v>
      </c>
      <c r="E113" s="5"/>
      <c r="F113" s="10">
        <f t="shared" si="2"/>
        <v>1390</v>
      </c>
      <c r="G113" s="5"/>
      <c r="H113" s="5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 x14ac:dyDescent="0.35">
      <c r="A114" s="60"/>
      <c r="B114" s="6" t="s">
        <v>22</v>
      </c>
      <c r="C114" s="6" t="s">
        <v>10</v>
      </c>
      <c r="D114" s="5" t="s">
        <v>16</v>
      </c>
      <c r="E114" s="5"/>
      <c r="F114" s="10">
        <f t="shared" si="2"/>
        <v>1390</v>
      </c>
      <c r="G114" s="5"/>
      <c r="H114" s="5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 x14ac:dyDescent="0.35">
      <c r="A115" s="60"/>
      <c r="B115" s="6" t="s">
        <v>22</v>
      </c>
      <c r="C115" s="6" t="s">
        <v>10</v>
      </c>
      <c r="D115" s="5" t="s">
        <v>17</v>
      </c>
      <c r="E115" s="5"/>
      <c r="F115" s="10">
        <f t="shared" si="2"/>
        <v>1390</v>
      </c>
      <c r="G115" s="5"/>
      <c r="H115" s="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 x14ac:dyDescent="0.35">
      <c r="A116" s="60"/>
      <c r="B116" s="6" t="s">
        <v>22</v>
      </c>
      <c r="C116" s="6" t="s">
        <v>10</v>
      </c>
      <c r="D116" s="5" t="s">
        <v>18</v>
      </c>
      <c r="E116" s="5"/>
      <c r="F116" s="10">
        <f t="shared" si="2"/>
        <v>1390</v>
      </c>
      <c r="G116" s="5"/>
      <c r="H116" s="5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 x14ac:dyDescent="0.35">
      <c r="A117" s="60"/>
      <c r="B117" s="6" t="s">
        <v>22</v>
      </c>
      <c r="C117" s="6" t="s">
        <v>10</v>
      </c>
      <c r="D117" s="5" t="s">
        <v>19</v>
      </c>
      <c r="E117" s="5"/>
      <c r="F117" s="5">
        <v>2180</v>
      </c>
      <c r="G117" s="5"/>
      <c r="H117" s="5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 x14ac:dyDescent="0.35">
      <c r="A118" s="60"/>
      <c r="B118" s="6" t="s">
        <v>22</v>
      </c>
      <c r="C118" s="6" t="s">
        <v>10</v>
      </c>
      <c r="D118" s="5" t="s">
        <v>20</v>
      </c>
      <c r="E118" s="5"/>
      <c r="F118" s="5">
        <v>2210</v>
      </c>
      <c r="G118" s="5"/>
      <c r="H118" s="5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 x14ac:dyDescent="0.35">
      <c r="A119" s="60"/>
      <c r="B119" s="6" t="s">
        <v>22</v>
      </c>
      <c r="C119" s="6" t="s">
        <v>10</v>
      </c>
      <c r="D119" s="5" t="s">
        <v>21</v>
      </c>
      <c r="E119" s="5"/>
      <c r="F119" s="5">
        <v>2720</v>
      </c>
      <c r="G119" s="5"/>
      <c r="H119" s="5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 x14ac:dyDescent="0.35">
      <c r="A120" s="60"/>
      <c r="B120" s="6" t="s">
        <v>22</v>
      </c>
      <c r="C120" s="6" t="s">
        <v>32</v>
      </c>
      <c r="D120" s="5" t="s">
        <v>18</v>
      </c>
      <c r="E120" s="5"/>
      <c r="F120" s="5">
        <v>2360</v>
      </c>
      <c r="G120" s="5"/>
      <c r="H120" s="5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 x14ac:dyDescent="0.35">
      <c r="A121" s="60"/>
      <c r="B121" s="6" t="s">
        <v>22</v>
      </c>
      <c r="C121" s="6" t="s">
        <v>32</v>
      </c>
      <c r="D121" s="5" t="s">
        <v>19</v>
      </c>
      <c r="E121" s="5"/>
      <c r="F121" s="5">
        <v>2480</v>
      </c>
      <c r="G121" s="5"/>
      <c r="H121" s="5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 x14ac:dyDescent="0.35">
      <c r="A122" s="60"/>
      <c r="B122" s="6" t="s">
        <v>22</v>
      </c>
      <c r="C122" s="6" t="s">
        <v>32</v>
      </c>
      <c r="D122" s="5" t="s">
        <v>33</v>
      </c>
      <c r="E122" s="5"/>
      <c r="F122" s="5">
        <v>2420</v>
      </c>
      <c r="G122" s="5"/>
      <c r="H122" s="5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 x14ac:dyDescent="0.35">
      <c r="A123" s="60"/>
      <c r="B123" s="6" t="s">
        <v>22</v>
      </c>
      <c r="C123" s="6" t="s">
        <v>32</v>
      </c>
      <c r="D123" s="5" t="s">
        <v>34</v>
      </c>
      <c r="E123" s="5"/>
      <c r="F123" s="5">
        <v>2720</v>
      </c>
      <c r="G123" s="5"/>
      <c r="H123" s="5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 x14ac:dyDescent="0.35">
      <c r="A124" s="60"/>
      <c r="B124" s="6" t="s">
        <v>22</v>
      </c>
      <c r="C124" s="6" t="s">
        <v>32</v>
      </c>
      <c r="D124" s="5" t="s">
        <v>35</v>
      </c>
      <c r="E124" s="5"/>
      <c r="F124" s="5">
        <v>2840</v>
      </c>
      <c r="G124" s="5"/>
      <c r="H124" s="5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 x14ac:dyDescent="0.35">
      <c r="A125" s="60"/>
      <c r="B125" s="6" t="s">
        <v>22</v>
      </c>
      <c r="C125" s="5" t="s">
        <v>36</v>
      </c>
      <c r="D125" s="5" t="s">
        <v>37</v>
      </c>
      <c r="E125" s="4"/>
      <c r="F125" s="5">
        <v>83670</v>
      </c>
      <c r="G125" s="5"/>
      <c r="H125" s="5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 x14ac:dyDescent="0.35">
      <c r="A126" s="60"/>
      <c r="B126" s="6" t="s">
        <v>22</v>
      </c>
      <c r="C126" s="5" t="s">
        <v>36</v>
      </c>
      <c r="D126" s="5" t="s">
        <v>38</v>
      </c>
      <c r="E126" s="4"/>
      <c r="F126" s="5">
        <v>93350</v>
      </c>
      <c r="G126" s="5"/>
      <c r="H126" s="5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 x14ac:dyDescent="0.35">
      <c r="A127" s="60"/>
      <c r="B127" s="6" t="s">
        <v>22</v>
      </c>
      <c r="C127" s="5" t="s">
        <v>39</v>
      </c>
      <c r="D127" s="5" t="s">
        <v>40</v>
      </c>
      <c r="E127" s="4"/>
      <c r="F127" s="5">
        <v>175630</v>
      </c>
      <c r="G127" s="5"/>
      <c r="H127" s="5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 x14ac:dyDescent="0.35">
      <c r="A128" s="60"/>
      <c r="B128" s="6" t="s">
        <v>22</v>
      </c>
      <c r="C128" s="5" t="s">
        <v>41</v>
      </c>
      <c r="D128" s="5" t="s">
        <v>42</v>
      </c>
      <c r="E128" s="4"/>
      <c r="F128" s="5">
        <v>394640</v>
      </c>
      <c r="G128" s="5"/>
      <c r="H128" s="5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 x14ac:dyDescent="0.35">
      <c r="A129" s="60"/>
      <c r="B129" s="6" t="s">
        <v>22</v>
      </c>
      <c r="C129" s="5" t="s">
        <v>43</v>
      </c>
      <c r="D129" s="5" t="s">
        <v>44</v>
      </c>
      <c r="E129" s="4"/>
      <c r="F129" s="5">
        <v>2840</v>
      </c>
      <c r="G129" s="5"/>
      <c r="H129" s="5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 x14ac:dyDescent="0.35">
      <c r="A130" s="60"/>
      <c r="B130" s="6" t="s">
        <v>22</v>
      </c>
      <c r="C130" s="5" t="s">
        <v>45</v>
      </c>
      <c r="D130" s="5" t="s">
        <v>46</v>
      </c>
      <c r="E130" s="4"/>
      <c r="F130" s="5">
        <v>4420</v>
      </c>
      <c r="G130" s="5"/>
      <c r="H130" s="5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 x14ac:dyDescent="0.35">
      <c r="A131" s="60"/>
      <c r="B131" s="6" t="s">
        <v>22</v>
      </c>
      <c r="C131" s="5" t="s">
        <v>47</v>
      </c>
      <c r="D131" s="5" t="s">
        <v>46</v>
      </c>
      <c r="E131" s="4"/>
      <c r="F131" s="5">
        <v>3570</v>
      </c>
      <c r="G131" s="5"/>
      <c r="H131" s="5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 x14ac:dyDescent="0.35">
      <c r="A132" s="60"/>
      <c r="B132" s="6" t="s">
        <v>22</v>
      </c>
      <c r="C132" s="5" t="s">
        <v>48</v>
      </c>
      <c r="D132" s="5" t="s">
        <v>49</v>
      </c>
      <c r="E132" s="4"/>
      <c r="F132" s="5">
        <v>3210</v>
      </c>
      <c r="G132" s="5"/>
      <c r="H132" s="5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 x14ac:dyDescent="0.35">
      <c r="A133" s="60"/>
      <c r="B133" s="6" t="s">
        <v>51</v>
      </c>
      <c r="C133" s="6" t="s">
        <v>10</v>
      </c>
      <c r="D133" s="5" t="s">
        <v>28</v>
      </c>
      <c r="E133" s="5"/>
      <c r="F133" s="5">
        <v>1330</v>
      </c>
      <c r="G133" s="5"/>
      <c r="H133" s="5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 x14ac:dyDescent="0.35">
      <c r="A134" s="60"/>
      <c r="B134" s="6" t="s">
        <v>51</v>
      </c>
      <c r="C134" s="6" t="s">
        <v>10</v>
      </c>
      <c r="D134" s="5" t="s">
        <v>29</v>
      </c>
      <c r="E134" s="5"/>
      <c r="F134" s="5">
        <v>1450</v>
      </c>
      <c r="G134" s="5"/>
      <c r="H134" s="5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 x14ac:dyDescent="0.35">
      <c r="A135" s="60"/>
      <c r="B135" s="6" t="s">
        <v>51</v>
      </c>
      <c r="C135" s="6" t="s">
        <v>10</v>
      </c>
      <c r="D135" s="5" t="s">
        <v>30</v>
      </c>
      <c r="E135" s="5"/>
      <c r="F135" s="5">
        <v>1570</v>
      </c>
      <c r="G135" s="5"/>
      <c r="H135" s="5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 x14ac:dyDescent="0.35">
      <c r="A136" s="60"/>
      <c r="B136" s="6" t="s">
        <v>51</v>
      </c>
      <c r="C136" s="6" t="s">
        <v>10</v>
      </c>
      <c r="D136" s="5" t="s">
        <v>13</v>
      </c>
      <c r="E136" s="5"/>
      <c r="F136" s="5">
        <v>2540</v>
      </c>
      <c r="G136" s="5"/>
      <c r="H136" s="5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 x14ac:dyDescent="0.35">
      <c r="A137" s="60"/>
      <c r="B137" s="6" t="s">
        <v>51</v>
      </c>
      <c r="C137" s="6" t="s">
        <v>10</v>
      </c>
      <c r="D137" s="5" t="s">
        <v>31</v>
      </c>
      <c r="E137" s="5"/>
      <c r="F137" s="5">
        <v>1820</v>
      </c>
      <c r="G137" s="5"/>
      <c r="H137" s="5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 x14ac:dyDescent="0.35">
      <c r="A138" s="60"/>
      <c r="B138" s="6" t="s">
        <v>51</v>
      </c>
      <c r="C138" s="6" t="s">
        <v>10</v>
      </c>
      <c r="D138" s="5" t="s">
        <v>15</v>
      </c>
      <c r="E138" s="5"/>
      <c r="F138" s="5">
        <v>1820</v>
      </c>
      <c r="G138" s="5"/>
      <c r="H138" s="5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 x14ac:dyDescent="0.35">
      <c r="A139" s="60"/>
      <c r="B139" s="6" t="s">
        <v>51</v>
      </c>
      <c r="C139" s="6" t="s">
        <v>10</v>
      </c>
      <c r="D139" s="5" t="s">
        <v>16</v>
      </c>
      <c r="E139" s="5"/>
      <c r="F139" s="5">
        <v>1880</v>
      </c>
      <c r="G139" s="5"/>
      <c r="H139" s="5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 x14ac:dyDescent="0.35">
      <c r="A140" s="60"/>
      <c r="B140" s="6" t="s">
        <v>51</v>
      </c>
      <c r="C140" s="6" t="s">
        <v>10</v>
      </c>
      <c r="D140" s="5" t="s">
        <v>17</v>
      </c>
      <c r="E140" s="5"/>
      <c r="F140" s="5">
        <v>1570</v>
      </c>
      <c r="G140" s="5"/>
      <c r="H140" s="5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 x14ac:dyDescent="0.35">
      <c r="A141" s="60"/>
      <c r="B141" s="6" t="s">
        <v>51</v>
      </c>
      <c r="C141" s="6" t="s">
        <v>10</v>
      </c>
      <c r="D141" s="5" t="s">
        <v>18</v>
      </c>
      <c r="E141" s="5"/>
      <c r="F141" s="5">
        <v>1700</v>
      </c>
      <c r="G141" s="5"/>
      <c r="H141" s="5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 x14ac:dyDescent="0.35">
      <c r="A142" s="60"/>
      <c r="B142" s="6" t="s">
        <v>51</v>
      </c>
      <c r="C142" s="6" t="s">
        <v>10</v>
      </c>
      <c r="D142" s="5" t="s">
        <v>19</v>
      </c>
      <c r="E142" s="5"/>
      <c r="F142" s="5">
        <v>1820</v>
      </c>
      <c r="G142" s="5"/>
      <c r="H142" s="5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 x14ac:dyDescent="0.35">
      <c r="A143" s="60"/>
      <c r="B143" s="6" t="s">
        <v>51</v>
      </c>
      <c r="C143" s="6" t="s">
        <v>10</v>
      </c>
      <c r="D143" s="5" t="s">
        <v>20</v>
      </c>
      <c r="E143" s="5"/>
      <c r="F143" s="5">
        <v>1850</v>
      </c>
      <c r="G143" s="5"/>
      <c r="H143" s="5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 x14ac:dyDescent="0.35">
      <c r="A144" s="60"/>
      <c r="B144" s="6" t="s">
        <v>51</v>
      </c>
      <c r="C144" s="6" t="s">
        <v>10</v>
      </c>
      <c r="D144" s="5" t="s">
        <v>21</v>
      </c>
      <c r="E144" s="5"/>
      <c r="F144" s="5">
        <v>2360</v>
      </c>
      <c r="G144" s="5"/>
      <c r="H144" s="5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 x14ac:dyDescent="0.35">
      <c r="A145" s="60"/>
      <c r="B145" s="6" t="s">
        <v>51</v>
      </c>
      <c r="C145" s="6" t="s">
        <v>32</v>
      </c>
      <c r="D145" s="5" t="s">
        <v>18</v>
      </c>
      <c r="E145" s="5"/>
      <c r="F145" s="5">
        <v>1700</v>
      </c>
      <c r="G145" s="5"/>
      <c r="H145" s="5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 x14ac:dyDescent="0.35">
      <c r="A146" s="60"/>
      <c r="B146" s="6" t="s">
        <v>51</v>
      </c>
      <c r="C146" s="6" t="s">
        <v>32</v>
      </c>
      <c r="D146" s="5" t="s">
        <v>19</v>
      </c>
      <c r="E146" s="5"/>
      <c r="F146" s="5">
        <v>2120</v>
      </c>
      <c r="G146" s="5"/>
      <c r="H146" s="5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 x14ac:dyDescent="0.35">
      <c r="A147" s="60"/>
      <c r="B147" s="6" t="s">
        <v>51</v>
      </c>
      <c r="C147" s="6" t="s">
        <v>32</v>
      </c>
      <c r="D147" s="5" t="s">
        <v>33</v>
      </c>
      <c r="E147" s="5"/>
      <c r="F147" s="5">
        <v>2060</v>
      </c>
      <c r="G147" s="5"/>
      <c r="H147" s="5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 x14ac:dyDescent="0.35">
      <c r="A148" s="60"/>
      <c r="B148" s="6" t="s">
        <v>51</v>
      </c>
      <c r="C148" s="6" t="s">
        <v>32</v>
      </c>
      <c r="D148" s="5" t="s">
        <v>34</v>
      </c>
      <c r="E148" s="5"/>
      <c r="F148" s="5">
        <v>2360</v>
      </c>
      <c r="G148" s="5"/>
      <c r="H148" s="5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 x14ac:dyDescent="0.35">
      <c r="A149" s="60"/>
      <c r="B149" s="6" t="s">
        <v>51</v>
      </c>
      <c r="C149" s="6" t="s">
        <v>32</v>
      </c>
      <c r="D149" s="5" t="s">
        <v>35</v>
      </c>
      <c r="E149" s="5"/>
      <c r="F149" s="5">
        <v>2480</v>
      </c>
      <c r="G149" s="5"/>
      <c r="H149" s="5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5">
      <c r="A150" s="60"/>
      <c r="B150" s="6" t="s">
        <v>51</v>
      </c>
      <c r="C150" s="9" t="s">
        <v>36</v>
      </c>
      <c r="D150" s="5" t="s">
        <v>37</v>
      </c>
      <c r="E150" s="4"/>
      <c r="F150" s="5">
        <f>(G150/H150)</f>
        <v>82280</v>
      </c>
      <c r="G150" s="5">
        <v>82280</v>
      </c>
      <c r="H150" s="5">
        <v>1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 x14ac:dyDescent="0.35">
      <c r="A151" s="60"/>
      <c r="B151" s="6" t="s">
        <v>51</v>
      </c>
      <c r="C151" s="9" t="s">
        <v>36</v>
      </c>
      <c r="D151" s="5" t="s">
        <v>38</v>
      </c>
      <c r="E151" s="4"/>
      <c r="F151" s="23">
        <f t="shared" ref="F151:F157" si="3">(G151/H151)</f>
        <v>91960</v>
      </c>
      <c r="G151" s="5">
        <v>91960</v>
      </c>
      <c r="H151" s="5">
        <v>1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 x14ac:dyDescent="0.35">
      <c r="A152" s="60"/>
      <c r="B152" s="6" t="s">
        <v>51</v>
      </c>
      <c r="C152" s="9" t="s">
        <v>39</v>
      </c>
      <c r="D152" s="5" t="s">
        <v>40</v>
      </c>
      <c r="E152" s="4"/>
      <c r="F152" s="23">
        <f t="shared" si="3"/>
        <v>174240</v>
      </c>
      <c r="G152" s="5">
        <v>174240</v>
      </c>
      <c r="H152" s="5">
        <v>1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 x14ac:dyDescent="0.35">
      <c r="A153" s="60"/>
      <c r="B153" s="6" t="s">
        <v>51</v>
      </c>
      <c r="C153" s="9" t="s">
        <v>41</v>
      </c>
      <c r="D153" s="5" t="s">
        <v>42</v>
      </c>
      <c r="E153" s="4"/>
      <c r="F153" s="23">
        <f t="shared" si="3"/>
        <v>393250</v>
      </c>
      <c r="G153" s="5">
        <v>393250</v>
      </c>
      <c r="H153" s="5">
        <v>1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 x14ac:dyDescent="0.35">
      <c r="A154" s="60"/>
      <c r="B154" s="6" t="s">
        <v>51</v>
      </c>
      <c r="C154" s="9" t="s">
        <v>43</v>
      </c>
      <c r="D154" s="5" t="s">
        <v>44</v>
      </c>
      <c r="E154" s="4"/>
      <c r="F154" s="23">
        <f t="shared" si="3"/>
        <v>1450</v>
      </c>
      <c r="G154" s="5">
        <v>1450</v>
      </c>
      <c r="H154" s="5">
        <v>1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 x14ac:dyDescent="0.35">
      <c r="A155" s="60"/>
      <c r="B155" s="6" t="s">
        <v>51</v>
      </c>
      <c r="C155" s="9" t="s">
        <v>45</v>
      </c>
      <c r="D155" s="5" t="s">
        <v>46</v>
      </c>
      <c r="E155" s="4"/>
      <c r="F155" s="23">
        <f t="shared" si="3"/>
        <v>3030</v>
      </c>
      <c r="G155" s="5">
        <v>3030</v>
      </c>
      <c r="H155" s="5">
        <v>1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 x14ac:dyDescent="0.35">
      <c r="A156" s="60"/>
      <c r="B156" s="6" t="s">
        <v>51</v>
      </c>
      <c r="C156" s="9" t="s">
        <v>47</v>
      </c>
      <c r="D156" s="5" t="s">
        <v>46</v>
      </c>
      <c r="E156" s="4"/>
      <c r="F156" s="23">
        <f t="shared" si="3"/>
        <v>2180</v>
      </c>
      <c r="G156" s="5">
        <v>2180</v>
      </c>
      <c r="H156" s="5">
        <v>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 x14ac:dyDescent="0.35">
      <c r="A157" s="60"/>
      <c r="B157" s="6" t="s">
        <v>51</v>
      </c>
      <c r="C157" s="9" t="s">
        <v>48</v>
      </c>
      <c r="D157" s="5" t="s">
        <v>49</v>
      </c>
      <c r="E157" s="4"/>
      <c r="F157" s="23">
        <f t="shared" si="3"/>
        <v>1820</v>
      </c>
      <c r="G157" s="5">
        <v>1820</v>
      </c>
      <c r="H157" s="5">
        <v>1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 x14ac:dyDescent="0.35">
      <c r="A158" s="60"/>
      <c r="B158" s="6" t="s">
        <v>52</v>
      </c>
      <c r="C158" s="6" t="s">
        <v>10</v>
      </c>
      <c r="D158" s="5" t="s">
        <v>28</v>
      </c>
      <c r="E158" s="5"/>
      <c r="F158" s="5">
        <v>1510</v>
      </c>
      <c r="G158" s="5"/>
      <c r="H158" s="5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 x14ac:dyDescent="0.35">
      <c r="A159" s="60"/>
      <c r="B159" s="6" t="s">
        <v>52</v>
      </c>
      <c r="C159" s="6" t="s">
        <v>10</v>
      </c>
      <c r="D159" s="5" t="s">
        <v>29</v>
      </c>
      <c r="E159" s="5"/>
      <c r="F159" s="5">
        <v>1630</v>
      </c>
      <c r="G159" s="5"/>
      <c r="H159" s="5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 x14ac:dyDescent="0.35">
      <c r="A160" s="60"/>
      <c r="B160" s="6" t="s">
        <v>52</v>
      </c>
      <c r="C160" s="6" t="s">
        <v>10</v>
      </c>
      <c r="D160" s="5" t="s">
        <v>30</v>
      </c>
      <c r="E160" s="5"/>
      <c r="F160" s="5">
        <v>1750</v>
      </c>
      <c r="G160" s="5"/>
      <c r="H160" s="5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 x14ac:dyDescent="0.35">
      <c r="A161" s="60"/>
      <c r="B161" s="6" t="s">
        <v>52</v>
      </c>
      <c r="C161" s="6" t="s">
        <v>10</v>
      </c>
      <c r="D161" s="5" t="s">
        <v>13</v>
      </c>
      <c r="E161" s="5"/>
      <c r="F161" s="5">
        <v>2720</v>
      </c>
      <c r="G161" s="5"/>
      <c r="H161" s="5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 x14ac:dyDescent="0.35">
      <c r="A162" s="60"/>
      <c r="B162" s="6" t="s">
        <v>52</v>
      </c>
      <c r="C162" s="6" t="s">
        <v>10</v>
      </c>
      <c r="D162" s="5" t="s">
        <v>31</v>
      </c>
      <c r="E162" s="5"/>
      <c r="F162" s="5">
        <v>2000</v>
      </c>
      <c r="G162" s="5"/>
      <c r="H162" s="5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 x14ac:dyDescent="0.35">
      <c r="A163" s="60"/>
      <c r="B163" s="6" t="s">
        <v>52</v>
      </c>
      <c r="C163" s="6" t="s">
        <v>10</v>
      </c>
      <c r="D163" s="5" t="s">
        <v>15</v>
      </c>
      <c r="E163" s="5"/>
      <c r="F163" s="5">
        <v>2000</v>
      </c>
      <c r="G163" s="5"/>
      <c r="H163" s="5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 x14ac:dyDescent="0.35">
      <c r="A164" s="60"/>
      <c r="B164" s="6" t="s">
        <v>52</v>
      </c>
      <c r="C164" s="6" t="s">
        <v>10</v>
      </c>
      <c r="D164" s="5" t="s">
        <v>16</v>
      </c>
      <c r="E164" s="5"/>
      <c r="F164" s="5">
        <v>2060</v>
      </c>
      <c r="G164" s="5"/>
      <c r="H164" s="5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 x14ac:dyDescent="0.35">
      <c r="A165" s="60"/>
      <c r="B165" s="6" t="s">
        <v>52</v>
      </c>
      <c r="C165" s="6" t="s">
        <v>10</v>
      </c>
      <c r="D165" s="5" t="s">
        <v>17</v>
      </c>
      <c r="E165" s="5"/>
      <c r="F165" s="5">
        <v>1750</v>
      </c>
      <c r="G165" s="5"/>
      <c r="H165" s="5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 x14ac:dyDescent="0.35">
      <c r="A166" s="60"/>
      <c r="B166" s="6" t="s">
        <v>52</v>
      </c>
      <c r="C166" s="6" t="s">
        <v>10</v>
      </c>
      <c r="D166" s="5" t="s">
        <v>18</v>
      </c>
      <c r="E166" s="5"/>
      <c r="F166" s="5">
        <v>1880</v>
      </c>
      <c r="G166" s="5"/>
      <c r="H166" s="5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 x14ac:dyDescent="0.35">
      <c r="A167" s="60"/>
      <c r="B167" s="6" t="s">
        <v>52</v>
      </c>
      <c r="C167" s="6" t="s">
        <v>10</v>
      </c>
      <c r="D167" s="5" t="s">
        <v>19</v>
      </c>
      <c r="E167" s="5"/>
      <c r="F167" s="5">
        <v>2000</v>
      </c>
      <c r="G167" s="5"/>
      <c r="H167" s="5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 x14ac:dyDescent="0.35">
      <c r="A168" s="60"/>
      <c r="B168" s="6" t="s">
        <v>52</v>
      </c>
      <c r="C168" s="6" t="s">
        <v>10</v>
      </c>
      <c r="D168" s="5" t="s">
        <v>20</v>
      </c>
      <c r="E168" s="5"/>
      <c r="F168" s="5">
        <v>2030</v>
      </c>
      <c r="G168" s="5"/>
      <c r="H168" s="5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 x14ac:dyDescent="0.35">
      <c r="A169" s="60"/>
      <c r="B169" s="6" t="s">
        <v>52</v>
      </c>
      <c r="C169" s="6" t="s">
        <v>10</v>
      </c>
      <c r="D169" s="5" t="s">
        <v>21</v>
      </c>
      <c r="E169" s="5"/>
      <c r="F169" s="5">
        <v>2540</v>
      </c>
      <c r="G169" s="5"/>
      <c r="H169" s="5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 x14ac:dyDescent="0.35">
      <c r="A170" s="60"/>
      <c r="B170" s="6" t="s">
        <v>52</v>
      </c>
      <c r="C170" s="6" t="s">
        <v>32</v>
      </c>
      <c r="D170" s="5" t="s">
        <v>18</v>
      </c>
      <c r="E170" s="5"/>
      <c r="F170" s="5">
        <v>2180</v>
      </c>
      <c r="G170" s="5"/>
      <c r="H170" s="5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 x14ac:dyDescent="0.35">
      <c r="A171" s="60"/>
      <c r="B171" s="6" t="s">
        <v>52</v>
      </c>
      <c r="C171" s="6" t="s">
        <v>32</v>
      </c>
      <c r="D171" s="5" t="s">
        <v>19</v>
      </c>
      <c r="E171" s="5"/>
      <c r="F171" s="5">
        <v>2300</v>
      </c>
      <c r="G171" s="5"/>
      <c r="H171" s="5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 x14ac:dyDescent="0.35">
      <c r="A172" s="60"/>
      <c r="B172" s="6" t="s">
        <v>52</v>
      </c>
      <c r="C172" s="6" t="s">
        <v>32</v>
      </c>
      <c r="D172" s="5" t="s">
        <v>33</v>
      </c>
      <c r="E172" s="5"/>
      <c r="F172" s="5">
        <v>2240</v>
      </c>
      <c r="G172" s="5"/>
      <c r="H172" s="5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 x14ac:dyDescent="0.35">
      <c r="A173" s="60"/>
      <c r="B173" s="6" t="s">
        <v>52</v>
      </c>
      <c r="C173" s="6" t="s">
        <v>32</v>
      </c>
      <c r="D173" s="5" t="s">
        <v>34</v>
      </c>
      <c r="E173" s="5"/>
      <c r="F173" s="5">
        <v>2540</v>
      </c>
      <c r="G173" s="5"/>
      <c r="H173" s="5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 x14ac:dyDescent="0.35">
      <c r="A174" s="60"/>
      <c r="B174" s="6" t="s">
        <v>52</v>
      </c>
      <c r="C174" s="6" t="s">
        <v>32</v>
      </c>
      <c r="D174" s="5" t="s">
        <v>35</v>
      </c>
      <c r="E174" s="5"/>
      <c r="F174" s="5">
        <v>2660</v>
      </c>
      <c r="G174" s="5"/>
      <c r="H174" s="5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 x14ac:dyDescent="0.35">
      <c r="A175" s="60"/>
      <c r="B175" s="6" t="s">
        <v>52</v>
      </c>
      <c r="C175" s="9" t="s">
        <v>36</v>
      </c>
      <c r="D175" s="5" t="s">
        <v>37</v>
      </c>
      <c r="E175" s="4"/>
      <c r="F175" s="5">
        <f>(G175/H175)</f>
        <v>82280</v>
      </c>
      <c r="G175" s="5">
        <v>82280</v>
      </c>
      <c r="H175" s="5">
        <v>1</v>
      </c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 x14ac:dyDescent="0.35">
      <c r="A176" s="60"/>
      <c r="B176" s="6" t="s">
        <v>52</v>
      </c>
      <c r="C176" s="9" t="s">
        <v>36</v>
      </c>
      <c r="D176" s="5" t="s">
        <v>38</v>
      </c>
      <c r="E176" s="4"/>
      <c r="F176" s="23">
        <f t="shared" ref="F176:F182" si="4">(G176/H176)</f>
        <v>91960</v>
      </c>
      <c r="G176" s="5">
        <v>91960</v>
      </c>
      <c r="H176" s="5">
        <v>1</v>
      </c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 x14ac:dyDescent="0.35">
      <c r="A177" s="60"/>
      <c r="B177" s="6" t="s">
        <v>52</v>
      </c>
      <c r="C177" s="9" t="s">
        <v>39</v>
      </c>
      <c r="D177" s="5" t="s">
        <v>40</v>
      </c>
      <c r="E177" s="4"/>
      <c r="F177" s="23">
        <f t="shared" si="4"/>
        <v>174240</v>
      </c>
      <c r="G177" s="5">
        <v>174240</v>
      </c>
      <c r="H177" s="5">
        <v>1</v>
      </c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 x14ac:dyDescent="0.35">
      <c r="A178" s="60"/>
      <c r="B178" s="6" t="s">
        <v>52</v>
      </c>
      <c r="C178" s="9" t="s">
        <v>41</v>
      </c>
      <c r="D178" s="5" t="s">
        <v>42</v>
      </c>
      <c r="E178" s="4"/>
      <c r="F178" s="23">
        <f t="shared" si="4"/>
        <v>393250</v>
      </c>
      <c r="G178" s="5">
        <v>393250</v>
      </c>
      <c r="H178" s="5">
        <v>1</v>
      </c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 x14ac:dyDescent="0.35">
      <c r="A179" s="60"/>
      <c r="B179" s="6" t="s">
        <v>52</v>
      </c>
      <c r="C179" s="9" t="s">
        <v>43</v>
      </c>
      <c r="D179" s="5" t="s">
        <v>44</v>
      </c>
      <c r="E179" s="4"/>
      <c r="F179" s="23">
        <f t="shared" si="4"/>
        <v>1450</v>
      </c>
      <c r="G179" s="5">
        <v>1450</v>
      </c>
      <c r="H179" s="5">
        <v>1</v>
      </c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 x14ac:dyDescent="0.35">
      <c r="A180" s="60"/>
      <c r="B180" s="6" t="s">
        <v>52</v>
      </c>
      <c r="C180" s="9" t="s">
        <v>45</v>
      </c>
      <c r="D180" s="5" t="s">
        <v>46</v>
      </c>
      <c r="E180" s="4"/>
      <c r="F180" s="23">
        <f t="shared" si="4"/>
        <v>3030</v>
      </c>
      <c r="G180" s="5">
        <v>3030</v>
      </c>
      <c r="H180" s="5">
        <v>1</v>
      </c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 x14ac:dyDescent="0.35">
      <c r="A181" s="60"/>
      <c r="B181" s="6" t="s">
        <v>52</v>
      </c>
      <c r="C181" s="9" t="s">
        <v>47</v>
      </c>
      <c r="D181" s="5" t="s">
        <v>46</v>
      </c>
      <c r="E181" s="4"/>
      <c r="F181" s="23">
        <f t="shared" si="4"/>
        <v>2180</v>
      </c>
      <c r="G181" s="5">
        <v>2180</v>
      </c>
      <c r="H181" s="5">
        <v>1</v>
      </c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 x14ac:dyDescent="0.35">
      <c r="A182" s="60"/>
      <c r="B182" s="6" t="s">
        <v>52</v>
      </c>
      <c r="C182" s="9" t="s">
        <v>48</v>
      </c>
      <c r="D182" s="5" t="s">
        <v>49</v>
      </c>
      <c r="E182" s="4"/>
      <c r="F182" s="23">
        <f t="shared" si="4"/>
        <v>1820</v>
      </c>
      <c r="G182" s="5">
        <v>1820</v>
      </c>
      <c r="H182" s="5">
        <v>1</v>
      </c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 x14ac:dyDescent="0.35">
      <c r="A183" s="58" t="s">
        <v>25</v>
      </c>
      <c r="B183" s="6" t="s">
        <v>27</v>
      </c>
      <c r="C183" s="6" t="s">
        <v>10</v>
      </c>
      <c r="D183" s="5" t="s">
        <v>28</v>
      </c>
      <c r="E183" s="5"/>
      <c r="F183" s="5">
        <v>1450</v>
      </c>
      <c r="G183" s="5"/>
      <c r="H183" s="5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 x14ac:dyDescent="0.35">
      <c r="A184" s="58"/>
      <c r="B184" s="6" t="s">
        <v>27</v>
      </c>
      <c r="C184" s="6" t="s">
        <v>10</v>
      </c>
      <c r="D184" s="5" t="s">
        <v>29</v>
      </c>
      <c r="E184" s="5"/>
      <c r="F184" s="5">
        <v>1570</v>
      </c>
      <c r="G184" s="5"/>
      <c r="H184" s="5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 x14ac:dyDescent="0.35">
      <c r="A185" s="58"/>
      <c r="B185" s="6" t="s">
        <v>27</v>
      </c>
      <c r="C185" s="6" t="s">
        <v>10</v>
      </c>
      <c r="D185" s="5" t="s">
        <v>30</v>
      </c>
      <c r="E185" s="5"/>
      <c r="F185" s="5">
        <v>1690</v>
      </c>
      <c r="G185" s="5"/>
      <c r="H185" s="5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 x14ac:dyDescent="0.35">
      <c r="A186" s="58"/>
      <c r="B186" s="6" t="s">
        <v>27</v>
      </c>
      <c r="C186" s="6" t="s">
        <v>10</v>
      </c>
      <c r="D186" s="5" t="s">
        <v>13</v>
      </c>
      <c r="E186" s="5"/>
      <c r="F186" s="5">
        <v>2660</v>
      </c>
      <c r="G186" s="5"/>
      <c r="H186" s="5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 x14ac:dyDescent="0.35">
      <c r="A187" s="58"/>
      <c r="B187" s="6" t="s">
        <v>27</v>
      </c>
      <c r="C187" s="6" t="s">
        <v>10</v>
      </c>
      <c r="D187" s="5" t="s">
        <v>31</v>
      </c>
      <c r="E187" s="5"/>
      <c r="F187" s="5">
        <v>1940</v>
      </c>
      <c r="G187" s="5"/>
      <c r="H187" s="5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 x14ac:dyDescent="0.35">
      <c r="A188" s="58"/>
      <c r="B188" s="6" t="s">
        <v>27</v>
      </c>
      <c r="C188" s="6" t="s">
        <v>10</v>
      </c>
      <c r="D188" s="5" t="s">
        <v>15</v>
      </c>
      <c r="E188" s="5"/>
      <c r="F188" s="5">
        <v>1940</v>
      </c>
      <c r="G188" s="5"/>
      <c r="H188" s="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 x14ac:dyDescent="0.35">
      <c r="A189" s="58"/>
      <c r="B189" s="6" t="s">
        <v>27</v>
      </c>
      <c r="C189" s="6" t="s">
        <v>10</v>
      </c>
      <c r="D189" s="5" t="s">
        <v>16</v>
      </c>
      <c r="E189" s="5"/>
      <c r="F189" s="5">
        <v>2000</v>
      </c>
      <c r="G189" s="5"/>
      <c r="H189" s="5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 x14ac:dyDescent="0.35">
      <c r="A190" s="58"/>
      <c r="B190" s="6" t="s">
        <v>27</v>
      </c>
      <c r="C190" s="6" t="s">
        <v>10</v>
      </c>
      <c r="D190" s="5" t="s">
        <v>17</v>
      </c>
      <c r="E190" s="5"/>
      <c r="F190" s="5">
        <v>1690</v>
      </c>
      <c r="G190" s="5"/>
      <c r="H190" s="5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 x14ac:dyDescent="0.35">
      <c r="A191" s="58"/>
      <c r="B191" s="6" t="s">
        <v>27</v>
      </c>
      <c r="C191" s="6" t="s">
        <v>10</v>
      </c>
      <c r="D191" s="5" t="s">
        <v>18</v>
      </c>
      <c r="E191" s="5"/>
      <c r="F191" s="5">
        <v>1820</v>
      </c>
      <c r="G191" s="5"/>
      <c r="H191" s="5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 x14ac:dyDescent="0.35">
      <c r="A192" s="58"/>
      <c r="B192" s="6" t="s">
        <v>27</v>
      </c>
      <c r="C192" s="6" t="s">
        <v>10</v>
      </c>
      <c r="D192" s="5" t="s">
        <v>19</v>
      </c>
      <c r="E192" s="5"/>
      <c r="F192" s="5">
        <v>1940</v>
      </c>
      <c r="G192" s="5"/>
      <c r="H192" s="5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 x14ac:dyDescent="0.35">
      <c r="A193" s="58"/>
      <c r="B193" s="6" t="s">
        <v>27</v>
      </c>
      <c r="C193" s="6" t="s">
        <v>10</v>
      </c>
      <c r="D193" s="5" t="s">
        <v>20</v>
      </c>
      <c r="E193" s="5"/>
      <c r="F193" s="5">
        <v>1970</v>
      </c>
      <c r="G193" s="5"/>
      <c r="H193" s="5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 x14ac:dyDescent="0.35">
      <c r="A194" s="58"/>
      <c r="B194" s="6" t="s">
        <v>27</v>
      </c>
      <c r="C194" s="6" t="s">
        <v>10</v>
      </c>
      <c r="D194" s="5" t="s">
        <v>21</v>
      </c>
      <c r="E194" s="5"/>
      <c r="F194" s="5">
        <v>2480</v>
      </c>
      <c r="G194" s="5"/>
      <c r="H194" s="5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 x14ac:dyDescent="0.35">
      <c r="A195" s="58"/>
      <c r="B195" s="6" t="s">
        <v>27</v>
      </c>
      <c r="C195" s="6" t="s">
        <v>32</v>
      </c>
      <c r="D195" s="5" t="s">
        <v>18</v>
      </c>
      <c r="E195" s="5"/>
      <c r="F195" s="5">
        <v>2120</v>
      </c>
      <c r="G195" s="5"/>
      <c r="H195" s="5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 x14ac:dyDescent="0.35">
      <c r="A196" s="58"/>
      <c r="B196" s="6" t="s">
        <v>27</v>
      </c>
      <c r="C196" s="6" t="s">
        <v>32</v>
      </c>
      <c r="D196" s="5" t="s">
        <v>19</v>
      </c>
      <c r="E196" s="5"/>
      <c r="F196" s="5">
        <v>2240</v>
      </c>
      <c r="G196" s="5"/>
      <c r="H196" s="5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 x14ac:dyDescent="0.35">
      <c r="A197" s="58"/>
      <c r="B197" s="6" t="s">
        <v>27</v>
      </c>
      <c r="C197" s="6" t="s">
        <v>32</v>
      </c>
      <c r="D197" s="5" t="s">
        <v>33</v>
      </c>
      <c r="E197" s="5"/>
      <c r="F197" s="5">
        <v>2180</v>
      </c>
      <c r="G197" s="5"/>
      <c r="H197" s="5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 x14ac:dyDescent="0.35">
      <c r="A198" s="58"/>
      <c r="B198" s="6" t="s">
        <v>27</v>
      </c>
      <c r="C198" s="6" t="s">
        <v>32</v>
      </c>
      <c r="D198" s="5" t="s">
        <v>34</v>
      </c>
      <c r="E198" s="5"/>
      <c r="F198" s="5">
        <v>2480</v>
      </c>
      <c r="G198" s="5"/>
      <c r="H198" s="5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 x14ac:dyDescent="0.35">
      <c r="A199" s="58"/>
      <c r="B199" s="6" t="s">
        <v>27</v>
      </c>
      <c r="C199" s="6" t="s">
        <v>32</v>
      </c>
      <c r="D199" s="5" t="s">
        <v>35</v>
      </c>
      <c r="E199" s="5"/>
      <c r="F199" s="5">
        <v>2600</v>
      </c>
      <c r="G199" s="5"/>
      <c r="H199" s="5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 x14ac:dyDescent="0.35">
      <c r="A200" s="57" t="s">
        <v>53</v>
      </c>
      <c r="B200" s="6" t="s">
        <v>50</v>
      </c>
      <c r="C200" s="6"/>
      <c r="D200" s="5" t="s">
        <v>11</v>
      </c>
      <c r="E200" s="5"/>
      <c r="F200" s="5">
        <v>540</v>
      </c>
      <c r="G200" s="5"/>
      <c r="H200" s="5"/>
      <c r="I200" s="11"/>
      <c r="J200" s="11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 x14ac:dyDescent="0.35">
      <c r="A201" s="57"/>
      <c r="B201" s="6" t="s">
        <v>50</v>
      </c>
      <c r="C201" s="12"/>
      <c r="D201" s="5" t="s">
        <v>54</v>
      </c>
      <c r="E201" s="5"/>
      <c r="F201" s="5">
        <v>790</v>
      </c>
      <c r="G201" s="5"/>
      <c r="H201" s="5"/>
      <c r="I201" s="11"/>
      <c r="J201" s="11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 x14ac:dyDescent="0.35">
      <c r="A202" s="57"/>
      <c r="B202" s="6" t="s">
        <v>50</v>
      </c>
      <c r="C202" s="12"/>
      <c r="D202" s="5" t="s">
        <v>55</v>
      </c>
      <c r="E202" s="5"/>
      <c r="F202" s="5">
        <v>910</v>
      </c>
      <c r="G202" s="5"/>
      <c r="H202" s="5"/>
      <c r="I202" s="11"/>
      <c r="J202" s="11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 x14ac:dyDescent="0.35">
      <c r="A203" s="57"/>
      <c r="B203" s="6" t="s">
        <v>50</v>
      </c>
      <c r="C203" s="12"/>
      <c r="D203" s="5" t="s">
        <v>56</v>
      </c>
      <c r="E203" s="5"/>
      <c r="F203" s="5">
        <v>910</v>
      </c>
      <c r="G203" s="5"/>
      <c r="H203" s="5"/>
      <c r="I203" s="11"/>
      <c r="J203" s="11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 x14ac:dyDescent="0.35">
      <c r="A204" s="57"/>
      <c r="B204" s="6" t="s">
        <v>50</v>
      </c>
      <c r="C204" s="12"/>
      <c r="D204" s="5" t="s">
        <v>19</v>
      </c>
      <c r="E204" s="5"/>
      <c r="F204" s="5">
        <v>1030</v>
      </c>
      <c r="G204" s="5"/>
      <c r="H204" s="5"/>
      <c r="I204" s="11"/>
      <c r="J204" s="11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 x14ac:dyDescent="0.35">
      <c r="A205" s="57"/>
      <c r="B205" s="6" t="s">
        <v>50</v>
      </c>
      <c r="C205" s="12"/>
      <c r="D205" s="5" t="s">
        <v>20</v>
      </c>
      <c r="E205" s="5"/>
      <c r="F205" s="5">
        <v>1090</v>
      </c>
      <c r="G205" s="5"/>
      <c r="H205" s="5"/>
      <c r="I205" s="11"/>
      <c r="J205" s="11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 x14ac:dyDescent="0.35">
      <c r="A206" s="57"/>
      <c r="B206" s="6" t="s">
        <v>50</v>
      </c>
      <c r="C206" s="12"/>
      <c r="D206" s="5" t="s">
        <v>57</v>
      </c>
      <c r="E206" s="5"/>
      <c r="F206" s="5">
        <v>730</v>
      </c>
      <c r="G206" s="5"/>
      <c r="H206" s="5"/>
      <c r="I206" s="11"/>
      <c r="J206" s="11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 x14ac:dyDescent="0.35">
      <c r="A207" s="57"/>
      <c r="B207" s="6" t="s">
        <v>50</v>
      </c>
      <c r="C207" s="12"/>
      <c r="D207" s="5" t="s">
        <v>58</v>
      </c>
      <c r="E207" s="5"/>
      <c r="F207" s="5"/>
      <c r="G207" s="5"/>
      <c r="H207" s="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 x14ac:dyDescent="0.35">
      <c r="A208" s="57"/>
      <c r="B208" s="6" t="s">
        <v>50</v>
      </c>
      <c r="C208" s="13"/>
      <c r="D208" s="5" t="s">
        <v>59</v>
      </c>
      <c r="E208" s="5"/>
      <c r="F208" s="5"/>
      <c r="G208" s="5"/>
      <c r="H208" s="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 x14ac:dyDescent="0.35">
      <c r="A209" s="57"/>
      <c r="B209" s="6" t="s">
        <v>10</v>
      </c>
      <c r="C209" s="6"/>
      <c r="D209" s="5" t="s">
        <v>11</v>
      </c>
      <c r="E209" s="5"/>
      <c r="F209" s="5">
        <v>620</v>
      </c>
      <c r="G209" s="5"/>
      <c r="H209" s="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 x14ac:dyDescent="0.35">
      <c r="A210" s="57"/>
      <c r="B210" s="6" t="s">
        <v>10</v>
      </c>
      <c r="C210" s="12"/>
      <c r="D210" s="5" t="s">
        <v>54</v>
      </c>
      <c r="E210" s="5"/>
      <c r="F210" s="5">
        <v>860</v>
      </c>
      <c r="G210" s="5"/>
      <c r="H210" s="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 x14ac:dyDescent="0.35">
      <c r="A211" s="57"/>
      <c r="B211" s="6" t="s">
        <v>10</v>
      </c>
      <c r="C211" s="12"/>
      <c r="D211" s="5" t="s">
        <v>55</v>
      </c>
      <c r="E211" s="5"/>
      <c r="F211" s="5">
        <v>980</v>
      </c>
      <c r="G211" s="5"/>
      <c r="H211" s="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 x14ac:dyDescent="0.35">
      <c r="A212" s="57"/>
      <c r="B212" s="6" t="s">
        <v>10</v>
      </c>
      <c r="C212" s="12"/>
      <c r="D212" s="5" t="s">
        <v>60</v>
      </c>
      <c r="E212" s="5"/>
      <c r="F212" s="5">
        <v>740</v>
      </c>
      <c r="G212" s="5"/>
      <c r="H212" s="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 x14ac:dyDescent="0.35">
      <c r="A213" s="57"/>
      <c r="B213" s="6" t="s">
        <v>10</v>
      </c>
      <c r="C213" s="12"/>
      <c r="D213" s="5" t="s">
        <v>56</v>
      </c>
      <c r="E213" s="5"/>
      <c r="F213" s="5">
        <v>980</v>
      </c>
      <c r="G213" s="5"/>
      <c r="H213" s="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 x14ac:dyDescent="0.35">
      <c r="A214" s="57"/>
      <c r="B214" s="6" t="s">
        <v>10</v>
      </c>
      <c r="C214" s="12"/>
      <c r="D214" s="5" t="s">
        <v>19</v>
      </c>
      <c r="E214" s="5"/>
      <c r="F214" s="5">
        <v>1100</v>
      </c>
      <c r="G214" s="5"/>
      <c r="H214" s="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 x14ac:dyDescent="0.35">
      <c r="A215" s="57"/>
      <c r="B215" s="6" t="s">
        <v>10</v>
      </c>
      <c r="C215" s="12"/>
      <c r="D215" s="5" t="s">
        <v>20</v>
      </c>
      <c r="E215" s="5"/>
      <c r="F215" s="5">
        <v>1160</v>
      </c>
      <c r="G215" s="5"/>
      <c r="H215" s="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 x14ac:dyDescent="0.35">
      <c r="A216" s="57"/>
      <c r="B216" s="6" t="s">
        <v>10</v>
      </c>
      <c r="C216" s="12"/>
      <c r="D216" s="5" t="s">
        <v>57</v>
      </c>
      <c r="E216" s="5"/>
      <c r="F216" s="5">
        <v>800</v>
      </c>
      <c r="G216" s="5"/>
      <c r="H216" s="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 x14ac:dyDescent="0.35">
      <c r="A217" s="57"/>
      <c r="B217" s="6" t="s">
        <v>10</v>
      </c>
      <c r="C217" s="12"/>
      <c r="D217" s="5" t="s">
        <v>58</v>
      </c>
      <c r="E217" s="5"/>
      <c r="F217" s="5">
        <v>1030</v>
      </c>
      <c r="G217" s="5"/>
      <c r="H217" s="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 x14ac:dyDescent="0.35">
      <c r="A218" s="57"/>
      <c r="B218" s="6" t="s">
        <v>10</v>
      </c>
      <c r="C218" s="13"/>
      <c r="D218" s="5" t="s">
        <v>59</v>
      </c>
      <c r="E218" s="5"/>
      <c r="F218" s="5"/>
      <c r="G218" s="5"/>
      <c r="H218" s="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 x14ac:dyDescent="0.35">
      <c r="A219" s="57"/>
      <c r="B219" s="5" t="s">
        <v>61</v>
      </c>
      <c r="C219" s="5"/>
      <c r="D219" s="5" t="s">
        <v>62</v>
      </c>
      <c r="E219" s="5"/>
      <c r="F219" s="5">
        <v>540</v>
      </c>
      <c r="G219" s="5"/>
      <c r="H219" s="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 x14ac:dyDescent="0.35">
      <c r="A220" s="57"/>
      <c r="B220" s="5" t="s">
        <v>63</v>
      </c>
      <c r="C220" s="5"/>
      <c r="D220" s="5" t="s">
        <v>64</v>
      </c>
      <c r="E220" s="5"/>
      <c r="F220" s="5">
        <v>1030</v>
      </c>
      <c r="G220" s="5"/>
      <c r="H220" s="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 x14ac:dyDescent="0.35">
      <c r="A221" s="57"/>
      <c r="B221" s="5" t="s">
        <v>65</v>
      </c>
      <c r="C221" s="5"/>
      <c r="D221" s="5" t="s">
        <v>64</v>
      </c>
      <c r="E221" s="5"/>
      <c r="F221" s="5">
        <v>850</v>
      </c>
      <c r="G221" s="5"/>
      <c r="H221" s="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 x14ac:dyDescent="0.35">
      <c r="A222" s="57"/>
      <c r="B222" s="5" t="s">
        <v>66</v>
      </c>
      <c r="C222" s="5"/>
      <c r="D222" s="5" t="s">
        <v>67</v>
      </c>
      <c r="E222" s="5"/>
      <c r="F222" s="5">
        <v>300</v>
      </c>
      <c r="G222" s="5"/>
      <c r="H222" s="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 x14ac:dyDescent="0.35">
      <c r="A223" s="57" t="s">
        <v>68</v>
      </c>
      <c r="B223" s="5" t="s">
        <v>69</v>
      </c>
      <c r="C223" s="5"/>
      <c r="D223" s="5" t="s">
        <v>70</v>
      </c>
      <c r="E223" s="5"/>
      <c r="F223" s="5">
        <v>1030</v>
      </c>
      <c r="G223" s="5"/>
      <c r="H223" s="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57.75" customHeight="1" x14ac:dyDescent="0.35">
      <c r="A224" s="57"/>
      <c r="B224" s="14" t="s">
        <v>71</v>
      </c>
      <c r="C224" s="5"/>
      <c r="D224" s="5" t="s">
        <v>70</v>
      </c>
      <c r="E224" s="5"/>
      <c r="F224" s="5">
        <v>1180</v>
      </c>
      <c r="G224" s="5"/>
      <c r="H224" s="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 x14ac:dyDescent="0.35">
      <c r="A225" s="57"/>
      <c r="B225" s="5" t="s">
        <v>72</v>
      </c>
      <c r="C225" s="5"/>
      <c r="D225" s="5" t="s">
        <v>70</v>
      </c>
      <c r="E225" s="5"/>
      <c r="F225" s="5">
        <v>670</v>
      </c>
      <c r="G225" s="5"/>
      <c r="H225" s="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 x14ac:dyDescent="0.35">
      <c r="A226" s="57" t="s">
        <v>73</v>
      </c>
      <c r="B226" s="15" t="s">
        <v>74</v>
      </c>
      <c r="C226" s="15"/>
      <c r="D226" s="15"/>
      <c r="E226" s="5"/>
      <c r="F226" s="5"/>
      <c r="G226" s="5"/>
      <c r="H226" s="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 x14ac:dyDescent="0.35">
      <c r="A227" s="57"/>
      <c r="B227" s="15" t="s">
        <v>75</v>
      </c>
      <c r="C227" s="15"/>
      <c r="D227" s="15"/>
      <c r="E227" s="5"/>
      <c r="F227" s="5"/>
      <c r="G227" s="5"/>
      <c r="H227" s="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 x14ac:dyDescent="0.35">
      <c r="A228" s="57"/>
      <c r="B228" s="15" t="s">
        <v>76</v>
      </c>
      <c r="C228" s="15"/>
      <c r="D228" s="15"/>
      <c r="E228" s="5"/>
      <c r="F228" s="5"/>
      <c r="G228" s="5"/>
      <c r="H228" s="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 x14ac:dyDescent="0.35">
      <c r="A229" s="57"/>
      <c r="B229" s="15" t="s">
        <v>77</v>
      </c>
      <c r="C229" s="15"/>
      <c r="D229" s="15"/>
      <c r="E229" s="5"/>
      <c r="F229" s="5"/>
      <c r="G229" s="5"/>
      <c r="H229" s="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 x14ac:dyDescent="0.35">
      <c r="A230" s="57"/>
      <c r="B230" s="16" t="s">
        <v>78</v>
      </c>
      <c r="C230" s="16"/>
      <c r="D230" s="15" t="s">
        <v>79</v>
      </c>
      <c r="E230" s="5"/>
      <c r="F230" s="5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 x14ac:dyDescent="0.35">
      <c r="A231" s="57" t="s">
        <v>80</v>
      </c>
      <c r="B231" s="5" t="s">
        <v>81</v>
      </c>
      <c r="C231" s="5"/>
      <c r="D231" s="5"/>
      <c r="E231" s="5"/>
      <c r="F231" s="5">
        <v>2970</v>
      </c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 x14ac:dyDescent="0.35">
      <c r="A232" s="57"/>
      <c r="B232" s="5" t="s">
        <v>82</v>
      </c>
      <c r="C232" s="5"/>
      <c r="D232" s="5" t="s">
        <v>83</v>
      </c>
      <c r="E232" s="5"/>
      <c r="F232" s="5">
        <v>9020</v>
      </c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 x14ac:dyDescent="0.35">
      <c r="A233" s="57"/>
      <c r="B233" s="5" t="s">
        <v>82</v>
      </c>
      <c r="C233" s="5"/>
      <c r="D233" s="5" t="s">
        <v>84</v>
      </c>
      <c r="E233" s="5"/>
      <c r="F233" s="5">
        <v>10230</v>
      </c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 x14ac:dyDescent="0.35">
      <c r="A234" s="57"/>
      <c r="B234" s="5" t="s">
        <v>85</v>
      </c>
      <c r="C234" s="5"/>
      <c r="D234" s="5" t="s">
        <v>86</v>
      </c>
      <c r="E234" s="5"/>
      <c r="F234" s="5">
        <v>12650</v>
      </c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 x14ac:dyDescent="0.35">
      <c r="A235" s="5"/>
      <c r="B235" s="9"/>
      <c r="C235" s="9"/>
      <c r="D235" s="5" t="s">
        <v>49</v>
      </c>
      <c r="E235" s="5"/>
      <c r="F235" s="5">
        <v>2970</v>
      </c>
      <c r="G235" s="5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 x14ac:dyDescent="0.35">
      <c r="A236" s="57" t="s">
        <v>87</v>
      </c>
      <c r="B236" s="5" t="s">
        <v>88</v>
      </c>
      <c r="C236" s="5"/>
      <c r="D236" s="5" t="s">
        <v>89</v>
      </c>
      <c r="E236" s="5"/>
      <c r="F236" s="5">
        <v>1210</v>
      </c>
      <c r="G236" s="5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 x14ac:dyDescent="0.35">
      <c r="A237" s="57"/>
      <c r="B237" s="3" t="s">
        <v>90</v>
      </c>
      <c r="C237" s="3"/>
      <c r="D237" s="5" t="s">
        <v>91</v>
      </c>
      <c r="E237" s="5"/>
      <c r="F237" s="5">
        <v>36300</v>
      </c>
      <c r="G237" s="5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 x14ac:dyDescent="0.35">
      <c r="A238" s="57"/>
      <c r="B238" s="3"/>
      <c r="C238" s="3"/>
      <c r="D238" s="5" t="s">
        <v>92</v>
      </c>
      <c r="E238" s="5"/>
      <c r="F238" s="5">
        <v>54450</v>
      </c>
      <c r="G238" s="5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 x14ac:dyDescent="0.35">
      <c r="A239" s="57"/>
      <c r="B239" s="3"/>
      <c r="C239" s="3"/>
      <c r="D239" s="5" t="s">
        <v>93</v>
      </c>
      <c r="E239" s="5"/>
      <c r="F239" s="5">
        <v>30250</v>
      </c>
      <c r="G239" s="5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1">
    <mergeCell ref="A2:A23"/>
    <mergeCell ref="J13:J14"/>
    <mergeCell ref="A24:A49"/>
    <mergeCell ref="A50:A57"/>
    <mergeCell ref="A58:A182"/>
    <mergeCell ref="A236:A239"/>
    <mergeCell ref="A183:A199"/>
    <mergeCell ref="A200:A222"/>
    <mergeCell ref="A223:A225"/>
    <mergeCell ref="A226:A230"/>
    <mergeCell ref="A231:A234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P300"/>
  <sheetViews>
    <sheetView topLeftCell="E1" zoomScaleNormal="100" workbookViewId="0">
      <pane ySplit="1" topLeftCell="A52" activePane="bottomLeft" state="frozen"/>
      <selection pane="bottomLeft" activeCell="H68" sqref="H68:P71"/>
    </sheetView>
  </sheetViews>
  <sheetFormatPr defaultColWidth="14.453125" defaultRowHeight="14.5" x14ac:dyDescent="0.35"/>
  <cols>
    <col min="1" max="1" width="9.54296875" style="2" bestFit="1" customWidth="1"/>
    <col min="2" max="2" width="26.81640625" style="2" bestFit="1" customWidth="1"/>
    <col min="3" max="3" width="15.36328125" style="2" bestFit="1" customWidth="1"/>
    <col min="4" max="4" width="20.81640625" style="2" bestFit="1" customWidth="1"/>
    <col min="5" max="5" width="5.26953125" style="2" bestFit="1" customWidth="1"/>
    <col min="6" max="6" width="14.08984375" bestFit="1" customWidth="1"/>
    <col min="7" max="7" width="10.26953125" style="2" customWidth="1"/>
    <col min="8" max="8" width="5.1796875" bestFit="1" customWidth="1"/>
    <col min="9" max="9" width="19" bestFit="1" customWidth="1"/>
    <col min="10" max="10" width="52.7265625" bestFit="1" customWidth="1"/>
    <col min="11" max="11" width="6.453125" bestFit="1" customWidth="1"/>
    <col min="12" max="12" width="6.90625" bestFit="1" customWidth="1"/>
    <col min="13" max="13" width="10.26953125" bestFit="1" customWidth="1"/>
    <col min="14" max="14" width="4" bestFit="1" customWidth="1"/>
    <col min="15" max="15" width="11.08984375" bestFit="1" customWidth="1"/>
    <col min="16" max="16" width="13.7265625" bestFit="1" customWidth="1"/>
  </cols>
  <sheetData>
    <row r="1" spans="1:16" ht="15" customHeight="1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5</v>
      </c>
      <c r="F1" s="42" t="s">
        <v>4</v>
      </c>
      <c r="G1" s="18"/>
    </row>
    <row r="2" spans="1:16" ht="15" customHeight="1" x14ac:dyDescent="0.35">
      <c r="A2" s="19" t="s">
        <v>8</v>
      </c>
      <c r="B2" s="19" t="s">
        <v>22</v>
      </c>
      <c r="C2" s="19" t="s">
        <v>10</v>
      </c>
      <c r="D2" s="19" t="s">
        <v>11</v>
      </c>
      <c r="E2" s="20">
        <f t="shared" ref="E2:E64" si="0">IF(OR($A2="",$B2="",$C2="",$D2=""),"",IFERROR(INDEX(MASTERFLAT_PRICE,MATCH($A2&amp;"|"&amp;$B2&amp;"|"&amp;$C2&amp;"|"&amp;$D2,MASTERFLAT_KEY,0)),"Check Master List"))</f>
        <v>1750</v>
      </c>
      <c r="G2" s="21"/>
      <c r="H2" s="61" t="s">
        <v>563</v>
      </c>
      <c r="I2" s="62"/>
      <c r="J2" s="62"/>
      <c r="K2" s="62"/>
      <c r="L2" s="62"/>
      <c r="M2" s="62"/>
      <c r="N2" s="62"/>
      <c r="O2" s="62"/>
      <c r="P2" s="63"/>
    </row>
    <row r="3" spans="1:16" ht="15" customHeight="1" x14ac:dyDescent="0.35">
      <c r="A3" s="19" t="s">
        <v>26</v>
      </c>
      <c r="B3" s="19" t="s">
        <v>27</v>
      </c>
      <c r="C3" s="19" t="s">
        <v>32</v>
      </c>
      <c r="D3" s="19" t="s">
        <v>33</v>
      </c>
      <c r="E3" s="20">
        <f t="shared" si="0"/>
        <v>2300</v>
      </c>
      <c r="G3" s="21"/>
      <c r="H3" s="64"/>
      <c r="I3" s="65"/>
      <c r="J3" s="65"/>
      <c r="K3" s="65"/>
      <c r="L3" s="65"/>
      <c r="M3" s="65"/>
      <c r="N3" s="65"/>
      <c r="O3" s="65"/>
      <c r="P3" s="66"/>
    </row>
    <row r="4" spans="1:16" ht="15" customHeight="1" x14ac:dyDescent="0.35">
      <c r="A4" s="19"/>
      <c r="B4" s="19"/>
      <c r="C4" s="19"/>
      <c r="D4" s="19"/>
      <c r="E4" s="20" t="str">
        <f t="shared" si="0"/>
        <v/>
      </c>
      <c r="G4" s="21"/>
      <c r="H4" s="64"/>
      <c r="I4" s="65"/>
      <c r="J4" s="65"/>
      <c r="K4" s="65"/>
      <c r="L4" s="65"/>
      <c r="M4" s="65"/>
      <c r="N4" s="65"/>
      <c r="O4" s="65"/>
      <c r="P4" s="66"/>
    </row>
    <row r="5" spans="1:16" ht="15" customHeight="1" x14ac:dyDescent="0.35">
      <c r="A5" s="19"/>
      <c r="B5" s="19"/>
      <c r="C5" s="19"/>
      <c r="D5" s="19"/>
      <c r="E5" s="20" t="str">
        <f t="shared" si="0"/>
        <v/>
      </c>
      <c r="G5" s="21"/>
      <c r="H5" s="64"/>
      <c r="I5" s="65"/>
      <c r="J5" s="65"/>
      <c r="K5" s="65"/>
      <c r="L5" s="65"/>
      <c r="M5" s="65"/>
      <c r="N5" s="65"/>
      <c r="O5" s="65"/>
      <c r="P5" s="66"/>
    </row>
    <row r="6" spans="1:16" ht="15" customHeight="1" x14ac:dyDescent="0.35">
      <c r="A6" s="19"/>
      <c r="B6" s="19"/>
      <c r="C6" s="19"/>
      <c r="D6" s="19"/>
      <c r="E6" s="20" t="str">
        <f t="shared" si="0"/>
        <v/>
      </c>
      <c r="G6" s="21"/>
      <c r="H6" s="64"/>
      <c r="I6" s="65"/>
      <c r="J6" s="65"/>
      <c r="K6" s="65"/>
      <c r="L6" s="65"/>
      <c r="M6" s="65"/>
      <c r="N6" s="65"/>
      <c r="O6" s="65"/>
      <c r="P6" s="66"/>
    </row>
    <row r="7" spans="1:16" ht="46.5" customHeight="1" x14ac:dyDescent="0.35">
      <c r="A7" s="19"/>
      <c r="B7" s="19"/>
      <c r="C7" s="19"/>
      <c r="D7" s="19"/>
      <c r="E7" s="20" t="str">
        <f t="shared" si="0"/>
        <v/>
      </c>
      <c r="G7" s="21"/>
      <c r="H7" s="67"/>
      <c r="I7" s="68"/>
      <c r="J7" s="68"/>
      <c r="K7" s="68"/>
      <c r="L7" s="68"/>
      <c r="M7" s="68"/>
      <c r="N7" s="68"/>
      <c r="O7" s="68"/>
      <c r="P7" s="69"/>
    </row>
    <row r="8" spans="1:16" ht="15" customHeight="1" x14ac:dyDescent="0.35">
      <c r="A8" s="19"/>
      <c r="B8" s="19"/>
      <c r="C8" s="19"/>
      <c r="D8" s="19"/>
      <c r="E8" s="20" t="str">
        <f t="shared" si="0"/>
        <v/>
      </c>
      <c r="G8" s="21"/>
      <c r="H8" s="70" t="s">
        <v>564</v>
      </c>
      <c r="I8" s="71"/>
      <c r="J8" s="72"/>
      <c r="K8" s="70" t="s">
        <v>565</v>
      </c>
      <c r="L8" s="71"/>
      <c r="M8" s="71"/>
      <c r="N8" s="72"/>
      <c r="O8" s="24" t="s">
        <v>566</v>
      </c>
      <c r="P8" s="25" t="s">
        <v>567</v>
      </c>
    </row>
    <row r="9" spans="1:16" ht="15" customHeight="1" x14ac:dyDescent="0.35">
      <c r="A9" s="19"/>
      <c r="B9" s="19"/>
      <c r="C9" s="19"/>
      <c r="D9" s="19"/>
      <c r="E9" s="20" t="str">
        <f t="shared" si="0"/>
        <v/>
      </c>
      <c r="H9" s="73" t="s">
        <v>568</v>
      </c>
      <c r="I9" s="74"/>
      <c r="J9" s="75"/>
      <c r="K9" s="73" t="s">
        <v>569</v>
      </c>
      <c r="L9" s="74"/>
      <c r="M9" s="74"/>
      <c r="N9" s="75"/>
      <c r="O9" s="79" t="s">
        <v>570</v>
      </c>
      <c r="P9" s="81">
        <f ca="1">TODAY()</f>
        <v>46277</v>
      </c>
    </row>
    <row r="10" spans="1:16" ht="15" customHeight="1" x14ac:dyDescent="0.35">
      <c r="A10" s="19"/>
      <c r="B10" s="19"/>
      <c r="C10" s="19"/>
      <c r="D10" s="19"/>
      <c r="E10" s="20" t="str">
        <f t="shared" si="0"/>
        <v/>
      </c>
      <c r="H10" s="76"/>
      <c r="I10" s="77"/>
      <c r="J10" s="78"/>
      <c r="K10" s="76"/>
      <c r="L10" s="77"/>
      <c r="M10" s="77"/>
      <c r="N10" s="78"/>
      <c r="O10" s="80"/>
      <c r="P10" s="82"/>
    </row>
    <row r="11" spans="1:16" ht="15" customHeight="1" x14ac:dyDescent="0.35">
      <c r="A11" s="19"/>
      <c r="B11" s="19"/>
      <c r="C11" s="19"/>
      <c r="D11" s="19"/>
      <c r="E11" s="20" t="str">
        <f t="shared" si="0"/>
        <v/>
      </c>
      <c r="H11" s="88" t="s">
        <v>571</v>
      </c>
      <c r="I11" s="88" t="s">
        <v>94</v>
      </c>
      <c r="J11" s="88" t="s">
        <v>572</v>
      </c>
      <c r="K11" s="90" t="s">
        <v>573</v>
      </c>
      <c r="L11" s="91"/>
      <c r="M11" s="88" t="s">
        <v>574</v>
      </c>
      <c r="N11" s="88" t="s">
        <v>575</v>
      </c>
      <c r="O11" s="88" t="s">
        <v>576</v>
      </c>
      <c r="P11" s="92" t="s">
        <v>577</v>
      </c>
    </row>
    <row r="12" spans="1:16" ht="15" customHeight="1" x14ac:dyDescent="0.35">
      <c r="A12" s="19"/>
      <c r="B12" s="19"/>
      <c r="C12" s="19"/>
      <c r="D12" s="19"/>
      <c r="E12" s="20" t="str">
        <f t="shared" si="0"/>
        <v/>
      </c>
      <c r="H12" s="89"/>
      <c r="I12" s="89"/>
      <c r="J12" s="89"/>
      <c r="K12" s="26" t="s">
        <v>578</v>
      </c>
      <c r="L12" s="26" t="s">
        <v>579</v>
      </c>
      <c r="M12" s="89"/>
      <c r="N12" s="89"/>
      <c r="O12" s="89"/>
      <c r="P12" s="93"/>
    </row>
    <row r="13" spans="1:16" ht="15" customHeight="1" x14ac:dyDescent="0.35">
      <c r="A13" s="19"/>
      <c r="B13" s="19"/>
      <c r="C13" s="19"/>
      <c r="D13" s="19"/>
      <c r="E13" s="20" t="str">
        <f t="shared" si="0"/>
        <v/>
      </c>
      <c r="H13" s="94" t="s">
        <v>580</v>
      </c>
      <c r="I13" s="95"/>
      <c r="J13" s="95"/>
      <c r="K13" s="95"/>
      <c r="L13" s="95"/>
      <c r="M13" s="95"/>
      <c r="N13" s="95"/>
      <c r="O13" s="96"/>
      <c r="P13" s="27"/>
    </row>
    <row r="14" spans="1:16" ht="15" customHeight="1" x14ac:dyDescent="0.35">
      <c r="A14" s="19" t="s">
        <v>8</v>
      </c>
      <c r="B14" s="19" t="s">
        <v>9</v>
      </c>
      <c r="C14" s="19" t="s">
        <v>10</v>
      </c>
      <c r="D14" s="19" t="s">
        <v>11</v>
      </c>
      <c r="E14" s="20">
        <f t="shared" si="0"/>
        <v>1990</v>
      </c>
      <c r="H14" s="28">
        <v>1</v>
      </c>
      <c r="I14" s="28" t="s">
        <v>8</v>
      </c>
      <c r="J14" s="28" t="str">
        <f>B14&amp;" + "&amp;C14&amp;" + "&amp;D14</f>
        <v>BWP Ply + HDHMR + Laminate</v>
      </c>
      <c r="K14" s="28">
        <v>5.5</v>
      </c>
      <c r="L14" s="28">
        <v>4</v>
      </c>
      <c r="M14" s="28">
        <f t="shared" ref="M14:M15" si="1">K14*L14</f>
        <v>22</v>
      </c>
      <c r="N14" s="28">
        <v>1</v>
      </c>
      <c r="O14" s="41">
        <f>E14</f>
        <v>1990</v>
      </c>
      <c r="P14" s="29">
        <f>M14*N14*O14</f>
        <v>43780</v>
      </c>
    </row>
    <row r="15" spans="1:16" ht="15" customHeight="1" x14ac:dyDescent="0.35">
      <c r="A15" s="19" t="s">
        <v>53</v>
      </c>
      <c r="B15" s="19" t="s">
        <v>10</v>
      </c>
      <c r="C15" s="19" t="s">
        <v>214</v>
      </c>
      <c r="D15" s="19" t="s">
        <v>11</v>
      </c>
      <c r="E15" s="20">
        <f t="shared" si="0"/>
        <v>620</v>
      </c>
      <c r="H15" s="28">
        <v>2</v>
      </c>
      <c r="I15" s="28" t="s">
        <v>581</v>
      </c>
      <c r="J15" s="28" t="s">
        <v>582</v>
      </c>
      <c r="K15" s="28">
        <v>3.3</v>
      </c>
      <c r="L15" s="28">
        <v>6</v>
      </c>
      <c r="M15" s="28">
        <f t="shared" si="1"/>
        <v>19.799999999999997</v>
      </c>
      <c r="N15" s="28">
        <v>1</v>
      </c>
      <c r="O15" s="41">
        <f>E15</f>
        <v>620</v>
      </c>
      <c r="P15" s="29">
        <f>M15*N15*O15</f>
        <v>12275.999999999998</v>
      </c>
    </row>
    <row r="16" spans="1:16" ht="15" customHeight="1" x14ac:dyDescent="0.35">
      <c r="A16" s="19"/>
      <c r="B16" s="19"/>
      <c r="C16" s="19"/>
      <c r="D16" s="19"/>
      <c r="E16" s="20"/>
      <c r="H16" s="70" t="s">
        <v>583</v>
      </c>
      <c r="I16" s="71"/>
      <c r="J16" s="71"/>
      <c r="K16" s="71"/>
      <c r="L16" s="71"/>
      <c r="M16" s="71"/>
      <c r="N16" s="71"/>
      <c r="O16" s="72"/>
      <c r="P16" s="25">
        <f>SUM(P14:P15)</f>
        <v>56056</v>
      </c>
    </row>
    <row r="17" spans="1:16" ht="15" customHeight="1" x14ac:dyDescent="0.35">
      <c r="A17" s="19"/>
      <c r="B17" s="19"/>
      <c r="C17" s="19"/>
      <c r="D17" s="19"/>
      <c r="E17" s="20" t="str">
        <f t="shared" si="0"/>
        <v/>
      </c>
      <c r="H17" s="94" t="s">
        <v>584</v>
      </c>
      <c r="I17" s="95"/>
      <c r="J17" s="95"/>
      <c r="K17" s="95"/>
      <c r="L17" s="95"/>
      <c r="M17" s="95"/>
      <c r="N17" s="95"/>
      <c r="O17" s="96"/>
      <c r="P17" s="27"/>
    </row>
    <row r="18" spans="1:16" ht="15" customHeight="1" x14ac:dyDescent="0.35">
      <c r="A18" s="19" t="s">
        <v>53</v>
      </c>
      <c r="B18" s="19" t="s">
        <v>10</v>
      </c>
      <c r="C18" s="19" t="s">
        <v>214</v>
      </c>
      <c r="D18" s="19" t="s">
        <v>55</v>
      </c>
      <c r="E18" s="20">
        <f>IF(OR($A18="",$B18="",$C18="",$D18=""),"",IFERROR(INDEX(MASTERFLAT_PRICE,MATCH($A18&amp;"|"&amp;$B18&amp;"|"&amp;$C18&amp;"|"&amp;$D18,MASTERFLAT_KEY,0)),"Check Master List"))</f>
        <v>980</v>
      </c>
      <c r="H18" s="28">
        <v>4</v>
      </c>
      <c r="I18" s="83" t="s">
        <v>581</v>
      </c>
      <c r="J18" s="28" t="str">
        <f>B18&amp;"  + "&amp;D18</f>
        <v>HDHMR  + French Mould + PU</v>
      </c>
      <c r="K18" s="86" t="s">
        <v>585</v>
      </c>
      <c r="L18" s="87"/>
      <c r="M18" s="28">
        <v>86.2</v>
      </c>
      <c r="N18" s="28">
        <v>1</v>
      </c>
      <c r="O18" s="41">
        <f>E18</f>
        <v>980</v>
      </c>
      <c r="P18" s="29">
        <f t="shared" ref="P18:P26" si="2">M18*N18*O18</f>
        <v>84476</v>
      </c>
    </row>
    <row r="19" spans="1:16" ht="15" customHeight="1" x14ac:dyDescent="0.35">
      <c r="A19" s="19" t="s">
        <v>53</v>
      </c>
      <c r="B19" s="19" t="s">
        <v>63</v>
      </c>
      <c r="C19" s="19" t="s">
        <v>214</v>
      </c>
      <c r="D19" s="19" t="s">
        <v>64</v>
      </c>
      <c r="E19" s="20">
        <f>IF(OR($A19="",$B19="",$C19="",$D19=""),"",IFERROR(INDEX(MASTERFLAT_PRICE,MATCH($A19&amp;"|"&amp;$B19&amp;"|"&amp;$C19&amp;"|"&amp;$D19,MASTERFLAT_KEY,0)),"Check Master List"))</f>
        <v>1030</v>
      </c>
      <c r="H19" s="28">
        <v>5</v>
      </c>
      <c r="I19" s="84"/>
      <c r="J19" s="28" t="str">
        <f>B19&amp;"  + "&amp;D19</f>
        <v>With LED MIRROR  + FOR DRESSER UNIT</v>
      </c>
      <c r="K19" s="28">
        <v>4.7</v>
      </c>
      <c r="L19" s="28">
        <v>10</v>
      </c>
      <c r="M19" s="28">
        <f>K19*L19</f>
        <v>47</v>
      </c>
      <c r="N19" s="28">
        <v>1</v>
      </c>
      <c r="O19" s="41">
        <f t="shared" ref="O19:O21" si="3">E19</f>
        <v>1030</v>
      </c>
      <c r="P19" s="29">
        <f t="shared" si="2"/>
        <v>48410</v>
      </c>
    </row>
    <row r="20" spans="1:16" ht="15" customHeight="1" x14ac:dyDescent="0.35">
      <c r="A20" s="19" t="s">
        <v>53</v>
      </c>
      <c r="B20" s="19" t="s">
        <v>10</v>
      </c>
      <c r="C20" s="19" t="s">
        <v>214</v>
      </c>
      <c r="D20" s="19" t="s">
        <v>58</v>
      </c>
      <c r="E20" s="20">
        <f t="shared" si="0"/>
        <v>1030</v>
      </c>
      <c r="H20" s="28">
        <v>6</v>
      </c>
      <c r="I20" s="85"/>
      <c r="J20" s="28" t="str">
        <f>B20&amp;"  + "&amp;D20</f>
        <v>HDHMR  + CNC, ART Work with PU</v>
      </c>
      <c r="K20" s="28">
        <v>6</v>
      </c>
      <c r="L20" s="28">
        <v>10</v>
      </c>
      <c r="M20" s="28">
        <f>K20*L20</f>
        <v>60</v>
      </c>
      <c r="N20" s="28">
        <v>1</v>
      </c>
      <c r="O20" s="41">
        <f t="shared" si="3"/>
        <v>1030</v>
      </c>
      <c r="P20" s="29">
        <f t="shared" si="2"/>
        <v>61800</v>
      </c>
    </row>
    <row r="21" spans="1:16" ht="15" customHeight="1" x14ac:dyDescent="0.35">
      <c r="A21" s="19" t="s">
        <v>53</v>
      </c>
      <c r="B21" s="19" t="s">
        <v>10</v>
      </c>
      <c r="C21" s="19" t="s">
        <v>214</v>
      </c>
      <c r="D21" s="19" t="s">
        <v>60</v>
      </c>
      <c r="E21" s="20">
        <f t="shared" si="0"/>
        <v>740</v>
      </c>
      <c r="H21" s="28">
        <v>7</v>
      </c>
      <c r="I21" s="30" t="s">
        <v>586</v>
      </c>
      <c r="J21" s="28" t="str">
        <f>B21&amp;"  + "&amp;D21</f>
        <v>HDHMR  + Veneer + Laminate</v>
      </c>
      <c r="K21" s="31">
        <v>14.7</v>
      </c>
      <c r="L21" s="28">
        <v>30</v>
      </c>
      <c r="M21" s="28">
        <f>K21*L21</f>
        <v>441</v>
      </c>
      <c r="N21" s="28">
        <v>1</v>
      </c>
      <c r="O21" s="41">
        <f t="shared" si="3"/>
        <v>740</v>
      </c>
      <c r="P21" s="29">
        <f t="shared" si="2"/>
        <v>326340</v>
      </c>
    </row>
    <row r="22" spans="1:16" ht="15" customHeight="1" x14ac:dyDescent="0.35">
      <c r="A22" s="19"/>
      <c r="B22" s="19"/>
      <c r="C22" s="19"/>
      <c r="D22" s="19"/>
      <c r="E22" s="20" t="str">
        <f t="shared" si="0"/>
        <v/>
      </c>
      <c r="H22" s="70" t="s">
        <v>583</v>
      </c>
      <c r="I22" s="71"/>
      <c r="J22" s="71"/>
      <c r="K22" s="71"/>
      <c r="L22" s="71"/>
      <c r="M22" s="71"/>
      <c r="N22" s="71"/>
      <c r="O22" s="72"/>
      <c r="P22" s="25">
        <f>SUM(P18:P21)</f>
        <v>521026</v>
      </c>
    </row>
    <row r="23" spans="1:16" ht="15" customHeight="1" x14ac:dyDescent="0.35">
      <c r="A23" s="19"/>
      <c r="B23" s="19"/>
      <c r="C23" s="19"/>
      <c r="D23" s="19"/>
      <c r="E23" s="20" t="str">
        <f t="shared" si="0"/>
        <v/>
      </c>
      <c r="H23" s="94" t="s">
        <v>587</v>
      </c>
      <c r="I23" s="95"/>
      <c r="J23" s="95"/>
      <c r="K23" s="95"/>
      <c r="L23" s="95"/>
      <c r="M23" s="95"/>
      <c r="N23" s="95"/>
      <c r="O23" s="96"/>
      <c r="P23" s="27"/>
    </row>
    <row r="24" spans="1:16" ht="15" customHeight="1" x14ac:dyDescent="0.35">
      <c r="A24" s="19" t="s">
        <v>26</v>
      </c>
      <c r="B24" s="19" t="s">
        <v>27</v>
      </c>
      <c r="C24" s="19" t="s">
        <v>10</v>
      </c>
      <c r="D24" s="19" t="s">
        <v>28</v>
      </c>
      <c r="E24" s="20">
        <f t="shared" si="0"/>
        <v>1570</v>
      </c>
      <c r="H24" s="28">
        <v>8</v>
      </c>
      <c r="I24" s="30" t="s">
        <v>588</v>
      </c>
      <c r="J24" s="28" t="str">
        <f t="shared" ref="J24:J25" si="4">B24&amp;" + "&amp;C24&amp;" + "&amp;D24</f>
        <v>MR Ply + HDHMR + Laminate SUEDO FINISH</v>
      </c>
      <c r="K24" s="31">
        <v>12.3</v>
      </c>
      <c r="L24" s="28">
        <v>7</v>
      </c>
      <c r="M24" s="28">
        <f>K24*L24</f>
        <v>86.100000000000009</v>
      </c>
      <c r="N24" s="28">
        <v>1</v>
      </c>
      <c r="O24" s="41">
        <f t="shared" ref="O24:O26" si="5">E24</f>
        <v>1570</v>
      </c>
      <c r="P24" s="29">
        <f t="shared" si="2"/>
        <v>135177</v>
      </c>
    </row>
    <row r="25" spans="1:16" ht="15" customHeight="1" x14ac:dyDescent="0.35">
      <c r="A25" s="19" t="s">
        <v>25</v>
      </c>
      <c r="B25" s="19" t="s">
        <v>27</v>
      </c>
      <c r="C25" s="19" t="s">
        <v>10</v>
      </c>
      <c r="D25" s="19" t="s">
        <v>28</v>
      </c>
      <c r="E25" s="20">
        <f t="shared" si="0"/>
        <v>1450</v>
      </c>
      <c r="H25" s="28">
        <v>9</v>
      </c>
      <c r="I25" s="30" t="s">
        <v>589</v>
      </c>
      <c r="J25" s="28" t="str">
        <f t="shared" si="4"/>
        <v>MR Ply + HDHMR + Laminate SUEDO FINISH</v>
      </c>
      <c r="K25" s="31">
        <v>12.3</v>
      </c>
      <c r="L25" s="28">
        <v>3</v>
      </c>
      <c r="M25" s="28">
        <f>K25*L25</f>
        <v>36.900000000000006</v>
      </c>
      <c r="N25" s="28">
        <v>1</v>
      </c>
      <c r="O25" s="41">
        <f t="shared" si="5"/>
        <v>1450</v>
      </c>
      <c r="P25" s="29">
        <f t="shared" si="2"/>
        <v>53505.000000000007</v>
      </c>
    </row>
    <row r="26" spans="1:16" ht="15" customHeight="1" x14ac:dyDescent="0.35">
      <c r="A26" s="19" t="s">
        <v>80</v>
      </c>
      <c r="B26" s="19" t="s">
        <v>81</v>
      </c>
      <c r="C26" s="19" t="s">
        <v>214</v>
      </c>
      <c r="D26" s="19" t="s">
        <v>214</v>
      </c>
      <c r="E26" s="20">
        <f t="shared" si="0"/>
        <v>2970</v>
      </c>
      <c r="H26" s="28">
        <v>10</v>
      </c>
      <c r="I26" s="30" t="s">
        <v>590</v>
      </c>
      <c r="J26" s="28" t="str">
        <f>B26&amp;""</f>
        <v>Cabinet With Glass Countertop</v>
      </c>
      <c r="K26" s="31">
        <v>2</v>
      </c>
      <c r="L26" s="28">
        <v>7</v>
      </c>
      <c r="M26" s="28">
        <f>K26*L26</f>
        <v>14</v>
      </c>
      <c r="N26" s="28">
        <v>1</v>
      </c>
      <c r="O26" s="41">
        <f t="shared" si="5"/>
        <v>2970</v>
      </c>
      <c r="P26" s="29">
        <f t="shared" si="2"/>
        <v>41580</v>
      </c>
    </row>
    <row r="27" spans="1:16" ht="15" customHeight="1" x14ac:dyDescent="0.35">
      <c r="A27" s="19"/>
      <c r="B27" s="19"/>
      <c r="C27" s="19"/>
      <c r="D27" s="19"/>
      <c r="E27" s="20" t="str">
        <f t="shared" si="0"/>
        <v/>
      </c>
      <c r="H27" s="70" t="s">
        <v>583</v>
      </c>
      <c r="I27" s="71"/>
      <c r="J27" s="71"/>
      <c r="K27" s="71"/>
      <c r="L27" s="71"/>
      <c r="M27" s="71"/>
      <c r="N27" s="71"/>
      <c r="O27" s="72"/>
      <c r="P27" s="25">
        <f>SUM(P24:P26)</f>
        <v>230262</v>
      </c>
    </row>
    <row r="28" spans="1:16" ht="15" customHeight="1" x14ac:dyDescent="0.35">
      <c r="A28" s="19"/>
      <c r="B28" s="19"/>
      <c r="C28" s="19"/>
      <c r="D28" s="19"/>
      <c r="E28" s="20" t="str">
        <f t="shared" si="0"/>
        <v/>
      </c>
      <c r="H28" s="94" t="s">
        <v>591</v>
      </c>
      <c r="I28" s="95"/>
      <c r="J28" s="95"/>
      <c r="K28" s="95"/>
      <c r="L28" s="95"/>
      <c r="M28" s="95"/>
      <c r="N28" s="95"/>
      <c r="O28" s="96"/>
      <c r="P28" s="27"/>
    </row>
    <row r="29" spans="1:16" ht="15" customHeight="1" x14ac:dyDescent="0.35">
      <c r="A29" s="19" t="s">
        <v>53</v>
      </c>
      <c r="B29" s="19" t="s">
        <v>10</v>
      </c>
      <c r="C29" s="19" t="s">
        <v>214</v>
      </c>
      <c r="D29" s="19" t="s">
        <v>58</v>
      </c>
      <c r="E29" s="20">
        <f t="shared" si="0"/>
        <v>1030</v>
      </c>
      <c r="H29" s="28">
        <v>11</v>
      </c>
      <c r="I29" s="30" t="s">
        <v>581</v>
      </c>
      <c r="J29" s="28" t="str">
        <f>B29&amp;" + "&amp;D29</f>
        <v>HDHMR + CNC, ART Work with PU</v>
      </c>
      <c r="K29" s="31">
        <v>18.2</v>
      </c>
      <c r="L29" s="28">
        <v>10</v>
      </c>
      <c r="M29" s="28">
        <f>K29*L29</f>
        <v>182</v>
      </c>
      <c r="N29" s="28">
        <v>1</v>
      </c>
      <c r="O29" s="41">
        <f t="shared" ref="O29:O33" si="6">E29</f>
        <v>1030</v>
      </c>
      <c r="P29" s="29">
        <f t="shared" ref="P29:P33" si="7">M29*N29*O29</f>
        <v>187460</v>
      </c>
    </row>
    <row r="30" spans="1:16" ht="15" customHeight="1" x14ac:dyDescent="0.35">
      <c r="A30" s="19" t="s">
        <v>26</v>
      </c>
      <c r="B30" s="19" t="s">
        <v>27</v>
      </c>
      <c r="C30" s="19" t="s">
        <v>32</v>
      </c>
      <c r="D30" s="19" t="s">
        <v>18</v>
      </c>
      <c r="E30" s="20">
        <f t="shared" si="0"/>
        <v>2240</v>
      </c>
      <c r="H30" s="28">
        <v>12</v>
      </c>
      <c r="I30" s="30" t="s">
        <v>592</v>
      </c>
      <c r="J30" s="28" t="str">
        <f t="shared" ref="J30:J33" si="8">B30&amp;" + "&amp;C30&amp;" + "&amp;D30</f>
        <v>MR Ply + Aluminum Profile + Tinted Glass</v>
      </c>
      <c r="K30" s="31">
        <v>4</v>
      </c>
      <c r="L30" s="28">
        <v>7</v>
      </c>
      <c r="M30" s="28">
        <f>K30*L30</f>
        <v>28</v>
      </c>
      <c r="N30" s="28">
        <v>1</v>
      </c>
      <c r="O30" s="41">
        <f t="shared" si="6"/>
        <v>2240</v>
      </c>
      <c r="P30" s="29">
        <f t="shared" si="7"/>
        <v>62720</v>
      </c>
    </row>
    <row r="31" spans="1:16" ht="15" customHeight="1" x14ac:dyDescent="0.35">
      <c r="A31" s="19" t="s">
        <v>26</v>
      </c>
      <c r="B31" s="19" t="s">
        <v>27</v>
      </c>
      <c r="C31" s="19" t="s">
        <v>10</v>
      </c>
      <c r="D31" s="19" t="s">
        <v>28</v>
      </c>
      <c r="E31" s="20">
        <f t="shared" si="0"/>
        <v>1570</v>
      </c>
      <c r="F31" s="43" t="s">
        <v>627</v>
      </c>
      <c r="G31" s="2">
        <v>1210</v>
      </c>
      <c r="H31" s="28">
        <v>13</v>
      </c>
      <c r="I31" s="97" t="s">
        <v>593</v>
      </c>
      <c r="J31" s="44" t="str">
        <f>B31&amp;" + "&amp;C31&amp;" + "&amp;D31&amp;" + "&amp;F31</f>
        <v>MR Ply + HDHMR + Laminate SUEDO FINISH + Seating Cushion</v>
      </c>
      <c r="K31" s="31">
        <v>7.9</v>
      </c>
      <c r="L31" s="28">
        <v>1.5</v>
      </c>
      <c r="M31" s="28">
        <f>K31*L31</f>
        <v>11.850000000000001</v>
      </c>
      <c r="N31" s="28">
        <v>1</v>
      </c>
      <c r="O31" s="41">
        <f>E31+G31</f>
        <v>2780</v>
      </c>
      <c r="P31" s="29">
        <f t="shared" si="7"/>
        <v>32943.000000000007</v>
      </c>
    </row>
    <row r="32" spans="1:16" ht="15" customHeight="1" x14ac:dyDescent="0.35">
      <c r="A32" s="19" t="s">
        <v>26</v>
      </c>
      <c r="B32" s="19" t="s">
        <v>27</v>
      </c>
      <c r="C32" s="19" t="s">
        <v>10</v>
      </c>
      <c r="D32" s="19" t="s">
        <v>28</v>
      </c>
      <c r="E32" s="20">
        <f t="shared" si="0"/>
        <v>1570</v>
      </c>
      <c r="H32" s="28">
        <v>14</v>
      </c>
      <c r="I32" s="98"/>
      <c r="J32" s="28" t="str">
        <f t="shared" si="8"/>
        <v>MR Ply + HDHMR + Laminate SUEDO FINISH</v>
      </c>
      <c r="K32" s="31">
        <f>7+K31</f>
        <v>14.9</v>
      </c>
      <c r="L32" s="28">
        <v>2</v>
      </c>
      <c r="M32" s="28">
        <f>K32*L32</f>
        <v>29.8</v>
      </c>
      <c r="N32" s="28">
        <v>1</v>
      </c>
      <c r="O32" s="41">
        <f t="shared" si="6"/>
        <v>1570</v>
      </c>
      <c r="P32" s="29">
        <f t="shared" si="7"/>
        <v>46786</v>
      </c>
    </row>
    <row r="33" spans="1:16" ht="15" customHeight="1" x14ac:dyDescent="0.35">
      <c r="A33" s="19" t="s">
        <v>26</v>
      </c>
      <c r="B33" s="19" t="s">
        <v>27</v>
      </c>
      <c r="C33" s="19" t="s">
        <v>10</v>
      </c>
      <c r="D33" s="19" t="s">
        <v>28</v>
      </c>
      <c r="E33" s="20">
        <f t="shared" si="0"/>
        <v>1570</v>
      </c>
      <c r="H33" s="28">
        <v>15</v>
      </c>
      <c r="I33" s="30" t="s">
        <v>594</v>
      </c>
      <c r="J33" s="28" t="str">
        <f t="shared" si="8"/>
        <v>MR Ply + HDHMR + Laminate SUEDO FINISH</v>
      </c>
      <c r="K33" s="31">
        <v>8</v>
      </c>
      <c r="L33" s="28">
        <v>10</v>
      </c>
      <c r="M33" s="28">
        <f>K33*L33</f>
        <v>80</v>
      </c>
      <c r="N33" s="28">
        <v>1</v>
      </c>
      <c r="O33" s="41">
        <f t="shared" si="6"/>
        <v>1570</v>
      </c>
      <c r="P33" s="29">
        <f t="shared" si="7"/>
        <v>125600</v>
      </c>
    </row>
    <row r="34" spans="1:16" ht="15" customHeight="1" x14ac:dyDescent="0.35">
      <c r="A34" s="19"/>
      <c r="B34" s="19"/>
      <c r="C34" s="19"/>
      <c r="D34" s="19"/>
      <c r="E34" s="20" t="str">
        <f t="shared" si="0"/>
        <v/>
      </c>
      <c r="H34" s="70" t="s">
        <v>583</v>
      </c>
      <c r="I34" s="71"/>
      <c r="J34" s="71"/>
      <c r="K34" s="71"/>
      <c r="L34" s="71"/>
      <c r="M34" s="71"/>
      <c r="N34" s="71"/>
      <c r="O34" s="72"/>
      <c r="P34" s="25">
        <f>SUM(P29:P33)</f>
        <v>455509</v>
      </c>
    </row>
    <row r="35" spans="1:16" ht="15" customHeight="1" x14ac:dyDescent="0.35">
      <c r="A35" s="19"/>
      <c r="B35" s="19"/>
      <c r="C35" s="19"/>
      <c r="D35" s="19"/>
      <c r="E35" s="20" t="str">
        <f t="shared" si="0"/>
        <v/>
      </c>
      <c r="H35" s="94" t="s">
        <v>595</v>
      </c>
      <c r="I35" s="95"/>
      <c r="J35" s="95"/>
      <c r="K35" s="95"/>
      <c r="L35" s="95"/>
      <c r="M35" s="95"/>
      <c r="N35" s="95"/>
      <c r="O35" s="96"/>
      <c r="P35" s="27"/>
    </row>
    <row r="36" spans="1:16" ht="15" customHeight="1" x14ac:dyDescent="0.35">
      <c r="A36" s="19"/>
      <c r="B36" s="19"/>
      <c r="C36" s="19"/>
      <c r="D36" s="19"/>
      <c r="E36" s="20"/>
      <c r="H36" s="28">
        <v>16</v>
      </c>
      <c r="I36" s="30" t="s">
        <v>596</v>
      </c>
      <c r="J36" s="28" t="s">
        <v>629</v>
      </c>
      <c r="K36" s="31">
        <v>7</v>
      </c>
      <c r="L36" s="28">
        <v>7</v>
      </c>
      <c r="M36" s="28">
        <f t="shared" ref="M36:M41" si="9">K36*L36</f>
        <v>49</v>
      </c>
      <c r="N36" s="28">
        <v>1</v>
      </c>
      <c r="O36" s="41">
        <v>1050</v>
      </c>
      <c r="P36" s="29">
        <f t="shared" ref="P36:P41" si="10">M36*N36*O36</f>
        <v>51450</v>
      </c>
    </row>
    <row r="37" spans="1:16" ht="15" customHeight="1" x14ac:dyDescent="0.35">
      <c r="A37" s="19" t="s">
        <v>87</v>
      </c>
      <c r="B37" s="19" t="s">
        <v>88</v>
      </c>
      <c r="C37" s="19" t="s">
        <v>214</v>
      </c>
      <c r="D37" s="19" t="s">
        <v>89</v>
      </c>
      <c r="E37" s="20">
        <f t="shared" si="0"/>
        <v>1210</v>
      </c>
      <c r="H37" s="28">
        <v>17</v>
      </c>
      <c r="I37" s="30" t="s">
        <v>597</v>
      </c>
      <c r="J37" s="44" t="str">
        <f t="shared" ref="J37:J41" si="11">B37&amp;" + "&amp;C37&amp;" + "&amp;D37</f>
        <v>HEAD BOARD CUSHION + - + Dedecor Material</v>
      </c>
      <c r="K37" s="31">
        <v>7</v>
      </c>
      <c r="L37" s="28">
        <v>2</v>
      </c>
      <c r="M37" s="28">
        <f t="shared" si="9"/>
        <v>14</v>
      </c>
      <c r="N37" s="28">
        <v>1</v>
      </c>
      <c r="O37" s="41">
        <f t="shared" ref="O37:O41" si="12">E37</f>
        <v>1210</v>
      </c>
      <c r="P37" s="29">
        <f t="shared" si="10"/>
        <v>16940</v>
      </c>
    </row>
    <row r="38" spans="1:16" ht="15" customHeight="1" x14ac:dyDescent="0.35">
      <c r="A38" s="19" t="s">
        <v>73</v>
      </c>
      <c r="B38" s="19" t="s">
        <v>74</v>
      </c>
      <c r="C38" s="19" t="s">
        <v>214</v>
      </c>
      <c r="D38" s="19" t="s">
        <v>214</v>
      </c>
      <c r="E38" s="20">
        <v>2500</v>
      </c>
      <c r="H38" s="28">
        <v>18</v>
      </c>
      <c r="I38" s="32" t="s">
        <v>598</v>
      </c>
      <c r="J38" s="44" t="str">
        <f>B38&amp;""</f>
        <v>Laminate Finish</v>
      </c>
      <c r="K38" s="31">
        <v>1.5</v>
      </c>
      <c r="L38" s="28">
        <v>1.5</v>
      </c>
      <c r="M38" s="28">
        <f t="shared" si="9"/>
        <v>2.25</v>
      </c>
      <c r="N38" s="28">
        <v>2</v>
      </c>
      <c r="O38" s="41">
        <f t="shared" si="12"/>
        <v>2500</v>
      </c>
      <c r="P38" s="29">
        <f t="shared" si="10"/>
        <v>11250</v>
      </c>
    </row>
    <row r="39" spans="1:16" ht="15" customHeight="1" x14ac:dyDescent="0.35">
      <c r="A39" s="19" t="s">
        <v>628</v>
      </c>
      <c r="B39" s="19" t="s">
        <v>27</v>
      </c>
      <c r="C39" s="19" t="s">
        <v>10</v>
      </c>
      <c r="D39" s="19" t="s">
        <v>28</v>
      </c>
      <c r="E39" s="20">
        <f t="shared" si="0"/>
        <v>1570</v>
      </c>
      <c r="H39" s="28">
        <v>19</v>
      </c>
      <c r="I39" s="32" t="s">
        <v>599</v>
      </c>
      <c r="J39" s="28" t="str">
        <f t="shared" si="11"/>
        <v>MR Ply + HDHMR + Laminate SUEDO FINISH</v>
      </c>
      <c r="K39" s="31">
        <f>3.3+8</f>
        <v>11.3</v>
      </c>
      <c r="L39" s="28">
        <v>7</v>
      </c>
      <c r="M39" s="28">
        <f t="shared" si="9"/>
        <v>79.100000000000009</v>
      </c>
      <c r="N39" s="28">
        <v>1</v>
      </c>
      <c r="O39" s="41">
        <f t="shared" si="12"/>
        <v>1570</v>
      </c>
      <c r="P39" s="29">
        <f t="shared" si="10"/>
        <v>124187.00000000001</v>
      </c>
    </row>
    <row r="40" spans="1:16" ht="15" customHeight="1" x14ac:dyDescent="0.35">
      <c r="A40" s="19" t="s">
        <v>25</v>
      </c>
      <c r="B40" s="19" t="s">
        <v>27</v>
      </c>
      <c r="C40" s="19" t="s">
        <v>10</v>
      </c>
      <c r="D40" s="19" t="s">
        <v>28</v>
      </c>
      <c r="E40" s="20">
        <f t="shared" si="0"/>
        <v>1450</v>
      </c>
      <c r="H40" s="28">
        <v>20</v>
      </c>
      <c r="I40" s="30" t="s">
        <v>589</v>
      </c>
      <c r="J40" s="28" t="str">
        <f t="shared" si="11"/>
        <v>MR Ply + HDHMR + Laminate SUEDO FINISH</v>
      </c>
      <c r="K40" s="31">
        <f>3.3+8</f>
        <v>11.3</v>
      </c>
      <c r="L40" s="28">
        <v>3</v>
      </c>
      <c r="M40" s="28">
        <f t="shared" si="9"/>
        <v>33.900000000000006</v>
      </c>
      <c r="N40" s="28">
        <v>1</v>
      </c>
      <c r="O40" s="41">
        <f t="shared" si="12"/>
        <v>1450</v>
      </c>
      <c r="P40" s="29">
        <f t="shared" si="10"/>
        <v>49155.000000000007</v>
      </c>
    </row>
    <row r="41" spans="1:16" ht="15" customHeight="1" x14ac:dyDescent="0.35">
      <c r="A41" s="19" t="s">
        <v>80</v>
      </c>
      <c r="B41" s="19" t="s">
        <v>81</v>
      </c>
      <c r="C41" s="19" t="s">
        <v>214</v>
      </c>
      <c r="D41" s="19" t="s">
        <v>214</v>
      </c>
      <c r="E41" s="20">
        <f t="shared" si="0"/>
        <v>2970</v>
      </c>
      <c r="H41" s="28">
        <v>21</v>
      </c>
      <c r="I41" s="30" t="s">
        <v>590</v>
      </c>
      <c r="J41" s="44" t="str">
        <f t="shared" si="11"/>
        <v>Cabinet With Glass Countertop + - + -</v>
      </c>
      <c r="K41" s="31">
        <v>2</v>
      </c>
      <c r="L41" s="28">
        <v>7</v>
      </c>
      <c r="M41" s="28">
        <f t="shared" si="9"/>
        <v>14</v>
      </c>
      <c r="N41" s="28">
        <v>1</v>
      </c>
      <c r="O41" s="41">
        <f t="shared" si="12"/>
        <v>2970</v>
      </c>
      <c r="P41" s="29">
        <f t="shared" si="10"/>
        <v>41580</v>
      </c>
    </row>
    <row r="42" spans="1:16" ht="15" customHeight="1" x14ac:dyDescent="0.35">
      <c r="A42" s="19"/>
      <c r="B42" s="19"/>
      <c r="C42" s="19"/>
      <c r="D42" s="19"/>
      <c r="E42" s="20" t="str">
        <f t="shared" si="0"/>
        <v/>
      </c>
      <c r="H42" s="70" t="s">
        <v>583</v>
      </c>
      <c r="I42" s="71"/>
      <c r="J42" s="71"/>
      <c r="K42" s="71"/>
      <c r="L42" s="71"/>
      <c r="M42" s="71"/>
      <c r="N42" s="71"/>
      <c r="O42" s="72"/>
      <c r="P42" s="25">
        <f>SUM(P36:P41)</f>
        <v>294562</v>
      </c>
    </row>
    <row r="43" spans="1:16" ht="15" customHeight="1" x14ac:dyDescent="0.35">
      <c r="A43" s="19"/>
      <c r="B43" s="19"/>
      <c r="C43" s="19"/>
      <c r="D43" s="19"/>
      <c r="E43" s="20" t="str">
        <f t="shared" si="0"/>
        <v/>
      </c>
      <c r="H43" s="94" t="s">
        <v>600</v>
      </c>
      <c r="I43" s="95"/>
      <c r="J43" s="95"/>
      <c r="K43" s="95"/>
      <c r="L43" s="95"/>
      <c r="M43" s="95"/>
      <c r="N43" s="95"/>
      <c r="O43" s="96"/>
      <c r="P43" s="27"/>
    </row>
    <row r="44" spans="1:16" ht="15" customHeight="1" x14ac:dyDescent="0.35">
      <c r="A44" s="19" t="s">
        <v>26</v>
      </c>
      <c r="B44" s="19" t="s">
        <v>27</v>
      </c>
      <c r="C44" s="19" t="s">
        <v>10</v>
      </c>
      <c r="D44" s="19" t="s">
        <v>28</v>
      </c>
      <c r="E44" s="20">
        <f t="shared" si="0"/>
        <v>1570</v>
      </c>
      <c r="H44" s="28">
        <v>22</v>
      </c>
      <c r="I44" s="28" t="s">
        <v>601</v>
      </c>
      <c r="J44" s="28" t="str">
        <f t="shared" ref="J44:J46" si="13">B44&amp;" + "&amp;C44&amp;" + "&amp;D44</f>
        <v>MR Ply + HDHMR + Laminate SUEDO FINISH</v>
      </c>
      <c r="K44" s="31">
        <v>11.5</v>
      </c>
      <c r="L44" s="31">
        <v>2.5</v>
      </c>
      <c r="M44" s="28">
        <f>K44*L44</f>
        <v>28.75</v>
      </c>
      <c r="N44" s="28">
        <v>1</v>
      </c>
      <c r="O44" s="41">
        <f>E44</f>
        <v>1570</v>
      </c>
      <c r="P44" s="29">
        <f>M44*N44*O44</f>
        <v>45137.5</v>
      </c>
    </row>
    <row r="45" spans="1:16" ht="15" customHeight="1" x14ac:dyDescent="0.35">
      <c r="A45" s="19" t="s">
        <v>53</v>
      </c>
      <c r="B45" s="19" t="s">
        <v>10</v>
      </c>
      <c r="C45" s="19" t="s">
        <v>214</v>
      </c>
      <c r="D45" s="19" t="s">
        <v>11</v>
      </c>
      <c r="E45" s="20">
        <f t="shared" si="0"/>
        <v>620</v>
      </c>
      <c r="H45" s="28">
        <v>23</v>
      </c>
      <c r="I45" s="28" t="s">
        <v>602</v>
      </c>
      <c r="J45" s="28" t="str">
        <f>B45&amp;" +"&amp;D45</f>
        <v>HDHMR +Laminate</v>
      </c>
      <c r="K45" s="31">
        <v>11.5</v>
      </c>
      <c r="L45" s="28">
        <v>3.5</v>
      </c>
      <c r="M45" s="28">
        <f t="shared" ref="M45:M46" si="14">K45*L45</f>
        <v>40.25</v>
      </c>
      <c r="N45" s="28">
        <v>1</v>
      </c>
      <c r="O45" s="41">
        <f t="shared" ref="O45:O46" si="15">E45</f>
        <v>620</v>
      </c>
      <c r="P45" s="29">
        <f t="shared" ref="P45:P46" si="16">M45*N45*O45</f>
        <v>24955</v>
      </c>
    </row>
    <row r="46" spans="1:16" ht="15" customHeight="1" x14ac:dyDescent="0.35">
      <c r="A46" s="19" t="s">
        <v>26</v>
      </c>
      <c r="B46" s="19" t="s">
        <v>27</v>
      </c>
      <c r="C46" s="19" t="s">
        <v>10</v>
      </c>
      <c r="D46" s="19" t="s">
        <v>28</v>
      </c>
      <c r="E46" s="20">
        <f t="shared" si="0"/>
        <v>1570</v>
      </c>
      <c r="H46" s="28">
        <v>24</v>
      </c>
      <c r="I46" s="28" t="s">
        <v>23</v>
      </c>
      <c r="J46" s="28" t="str">
        <f t="shared" si="13"/>
        <v>MR Ply + HDHMR + Laminate SUEDO FINISH</v>
      </c>
      <c r="K46" s="31">
        <v>11.5</v>
      </c>
      <c r="L46" s="28">
        <v>1</v>
      </c>
      <c r="M46" s="28">
        <f t="shared" si="14"/>
        <v>11.5</v>
      </c>
      <c r="N46" s="28">
        <v>1</v>
      </c>
      <c r="O46" s="41">
        <f t="shared" si="15"/>
        <v>1570</v>
      </c>
      <c r="P46" s="29">
        <f t="shared" si="16"/>
        <v>18055</v>
      </c>
    </row>
    <row r="47" spans="1:16" ht="15" customHeight="1" x14ac:dyDescent="0.35">
      <c r="A47" s="19"/>
      <c r="B47" s="19"/>
      <c r="C47" s="19"/>
      <c r="D47" s="19"/>
      <c r="E47" s="20" t="str">
        <f t="shared" si="0"/>
        <v/>
      </c>
      <c r="H47" s="70" t="s">
        <v>583</v>
      </c>
      <c r="I47" s="71"/>
      <c r="J47" s="71"/>
      <c r="K47" s="71"/>
      <c r="L47" s="71"/>
      <c r="M47" s="71"/>
      <c r="N47" s="71"/>
      <c r="O47" s="72"/>
      <c r="P47" s="25">
        <f>SUM(P44:P46)</f>
        <v>88147.5</v>
      </c>
    </row>
    <row r="48" spans="1:16" ht="15" customHeight="1" x14ac:dyDescent="0.35">
      <c r="A48" s="19"/>
      <c r="B48" s="19"/>
      <c r="C48" s="19"/>
      <c r="D48" s="19"/>
      <c r="E48" s="20" t="str">
        <f t="shared" si="0"/>
        <v/>
      </c>
      <c r="H48" s="94" t="s">
        <v>603</v>
      </c>
      <c r="I48" s="95"/>
      <c r="J48" s="95"/>
      <c r="K48" s="95"/>
      <c r="L48" s="95"/>
      <c r="M48" s="95"/>
      <c r="N48" s="95"/>
      <c r="O48" s="96"/>
      <c r="P48" s="27"/>
    </row>
    <row r="49" spans="1:16" ht="15" customHeight="1" x14ac:dyDescent="0.35">
      <c r="A49" s="19"/>
      <c r="B49" s="19"/>
      <c r="C49" s="19"/>
      <c r="D49" s="19"/>
      <c r="E49" s="20" t="str">
        <f t="shared" si="0"/>
        <v/>
      </c>
      <c r="H49" s="28">
        <v>25</v>
      </c>
      <c r="I49" s="28" t="s">
        <v>604</v>
      </c>
      <c r="J49" s="28" t="str">
        <f t="shared" ref="J49:J53" si="17">B49&amp;" + "&amp;C49&amp;" + "&amp;D49</f>
        <v xml:space="preserve"> +  + </v>
      </c>
      <c r="K49" s="31">
        <v>8</v>
      </c>
      <c r="L49" s="31">
        <v>7</v>
      </c>
      <c r="M49" s="28">
        <f>K49*L49</f>
        <v>56</v>
      </c>
      <c r="N49" s="28">
        <v>1</v>
      </c>
      <c r="O49" s="41" t="str">
        <f t="shared" ref="O49:O53" si="18">E49</f>
        <v/>
      </c>
      <c r="P49" s="29" t="e">
        <f t="shared" ref="P49:P53" si="19">M49*N49*O49</f>
        <v>#VALUE!</v>
      </c>
    </row>
    <row r="50" spans="1:16" ht="15" customHeight="1" x14ac:dyDescent="0.35">
      <c r="A50" s="19"/>
      <c r="B50" s="19"/>
      <c r="C50" s="19"/>
      <c r="D50" s="19"/>
      <c r="E50" s="20" t="str">
        <f t="shared" si="0"/>
        <v/>
      </c>
      <c r="H50" s="28">
        <v>26</v>
      </c>
      <c r="I50" s="28" t="s">
        <v>589</v>
      </c>
      <c r="J50" s="28" t="str">
        <f t="shared" si="17"/>
        <v xml:space="preserve"> +  + </v>
      </c>
      <c r="K50" s="31">
        <v>8</v>
      </c>
      <c r="L50" s="31">
        <v>3</v>
      </c>
      <c r="M50" s="28">
        <f t="shared" ref="M50" si="20">K50*L50</f>
        <v>24</v>
      </c>
      <c r="N50" s="28">
        <v>1</v>
      </c>
      <c r="O50" s="41" t="str">
        <f t="shared" si="18"/>
        <v/>
      </c>
      <c r="P50" s="29" t="e">
        <f t="shared" si="19"/>
        <v>#VALUE!</v>
      </c>
    </row>
    <row r="51" spans="1:16" ht="15" customHeight="1" x14ac:dyDescent="0.35">
      <c r="A51" s="19"/>
      <c r="B51" s="19"/>
      <c r="C51" s="19"/>
      <c r="D51" s="19"/>
      <c r="E51" s="20" t="str">
        <f t="shared" si="0"/>
        <v/>
      </c>
      <c r="H51" s="28">
        <v>27</v>
      </c>
      <c r="I51" s="30" t="s">
        <v>596</v>
      </c>
      <c r="J51" s="28" t="str">
        <f t="shared" si="17"/>
        <v xml:space="preserve"> +  + </v>
      </c>
      <c r="K51" s="31">
        <v>7</v>
      </c>
      <c r="L51" s="28">
        <v>7</v>
      </c>
      <c r="M51" s="28">
        <f>K51*L51</f>
        <v>49</v>
      </c>
      <c r="N51" s="28">
        <v>1</v>
      </c>
      <c r="O51" s="41" t="str">
        <f t="shared" si="18"/>
        <v/>
      </c>
      <c r="P51" s="29" t="e">
        <f t="shared" si="19"/>
        <v>#VALUE!</v>
      </c>
    </row>
    <row r="52" spans="1:16" ht="15" customHeight="1" x14ac:dyDescent="0.35">
      <c r="A52" s="19"/>
      <c r="B52" s="19"/>
      <c r="C52" s="19"/>
      <c r="D52" s="19"/>
      <c r="E52" s="20" t="str">
        <f t="shared" si="0"/>
        <v/>
      </c>
      <c r="H52" s="28">
        <v>28</v>
      </c>
      <c r="I52" s="30" t="s">
        <v>597</v>
      </c>
      <c r="J52" s="28" t="str">
        <f t="shared" si="17"/>
        <v xml:space="preserve"> +  + </v>
      </c>
      <c r="K52" s="31">
        <v>7</v>
      </c>
      <c r="L52" s="28">
        <v>2</v>
      </c>
      <c r="M52" s="28">
        <f>K52*L52</f>
        <v>14</v>
      </c>
      <c r="N52" s="28">
        <v>1</v>
      </c>
      <c r="O52" s="41" t="str">
        <f t="shared" si="18"/>
        <v/>
      </c>
      <c r="P52" s="29" t="e">
        <f t="shared" si="19"/>
        <v>#VALUE!</v>
      </c>
    </row>
    <row r="53" spans="1:16" ht="15" customHeight="1" x14ac:dyDescent="0.35">
      <c r="A53" s="19"/>
      <c r="B53" s="19"/>
      <c r="C53" s="19"/>
      <c r="D53" s="19"/>
      <c r="E53" s="20" t="str">
        <f t="shared" si="0"/>
        <v/>
      </c>
      <c r="H53" s="28">
        <v>29</v>
      </c>
      <c r="I53" s="32" t="s">
        <v>598</v>
      </c>
      <c r="J53" s="28" t="str">
        <f t="shared" si="17"/>
        <v xml:space="preserve"> +  + </v>
      </c>
      <c r="K53" s="31">
        <v>1.5</v>
      </c>
      <c r="L53" s="28">
        <v>1.5</v>
      </c>
      <c r="M53" s="28">
        <f>K53*L53</f>
        <v>2.25</v>
      </c>
      <c r="N53" s="28">
        <v>2</v>
      </c>
      <c r="O53" s="41" t="str">
        <f t="shared" si="18"/>
        <v/>
      </c>
      <c r="P53" s="29" t="e">
        <f t="shared" si="19"/>
        <v>#VALUE!</v>
      </c>
    </row>
    <row r="54" spans="1:16" ht="15" customHeight="1" x14ac:dyDescent="0.35">
      <c r="A54" s="19"/>
      <c r="B54" s="19"/>
      <c r="C54" s="19"/>
      <c r="D54" s="19"/>
      <c r="E54" s="20" t="str">
        <f t="shared" si="0"/>
        <v/>
      </c>
      <c r="H54" s="70" t="s">
        <v>583</v>
      </c>
      <c r="I54" s="71"/>
      <c r="J54" s="71"/>
      <c r="K54" s="71"/>
      <c r="L54" s="71"/>
      <c r="M54" s="71"/>
      <c r="N54" s="71"/>
      <c r="O54" s="72"/>
      <c r="P54" s="25" t="e">
        <f>SUM(P49:P53)</f>
        <v>#VALUE!</v>
      </c>
    </row>
    <row r="55" spans="1:16" ht="15" customHeight="1" x14ac:dyDescent="0.35">
      <c r="A55" s="19"/>
      <c r="B55" s="19"/>
      <c r="C55" s="19"/>
      <c r="D55" s="19"/>
      <c r="E55" s="20" t="str">
        <f t="shared" si="0"/>
        <v/>
      </c>
      <c r="H55" s="94" t="s">
        <v>605</v>
      </c>
      <c r="I55" s="95"/>
      <c r="J55" s="95"/>
      <c r="K55" s="95"/>
      <c r="L55" s="95"/>
      <c r="M55" s="95"/>
      <c r="N55" s="95"/>
      <c r="O55" s="96"/>
      <c r="P55" s="27"/>
    </row>
    <row r="56" spans="1:16" ht="15" customHeight="1" x14ac:dyDescent="0.35">
      <c r="A56" s="19"/>
      <c r="B56" s="19"/>
      <c r="C56" s="19"/>
      <c r="D56" s="19"/>
      <c r="E56" s="20" t="str">
        <f t="shared" si="0"/>
        <v/>
      </c>
      <c r="H56" s="28">
        <v>30</v>
      </c>
      <c r="I56" s="33" t="s">
        <v>604</v>
      </c>
      <c r="J56" s="28" t="str">
        <f t="shared" ref="J56:J62" si="21">B56&amp;" + "&amp;C56&amp;" + "&amp;D56</f>
        <v xml:space="preserve"> +  + </v>
      </c>
      <c r="K56" s="31">
        <v>18</v>
      </c>
      <c r="L56" s="31">
        <v>7</v>
      </c>
      <c r="M56" s="28">
        <f>K56*L56</f>
        <v>126</v>
      </c>
      <c r="N56" s="28">
        <v>1</v>
      </c>
      <c r="O56" s="41" t="str">
        <f t="shared" ref="O56:O62" si="22">E56</f>
        <v/>
      </c>
      <c r="P56" s="29" t="e">
        <f>M56*N56*O56+4000</f>
        <v>#VALUE!</v>
      </c>
    </row>
    <row r="57" spans="1:16" ht="15" customHeight="1" x14ac:dyDescent="0.35">
      <c r="A57" s="19"/>
      <c r="B57" s="19"/>
      <c r="C57" s="19"/>
      <c r="D57" s="19"/>
      <c r="E57" s="20" t="str">
        <f t="shared" si="0"/>
        <v/>
      </c>
      <c r="H57" s="28">
        <v>31</v>
      </c>
      <c r="I57" s="33" t="s">
        <v>589</v>
      </c>
      <c r="J57" s="28" t="str">
        <f t="shared" si="21"/>
        <v xml:space="preserve"> +  + </v>
      </c>
      <c r="K57" s="31">
        <v>18</v>
      </c>
      <c r="L57" s="28">
        <v>3</v>
      </c>
      <c r="M57" s="28">
        <f t="shared" ref="M57:M59" si="23">K57*L57</f>
        <v>54</v>
      </c>
      <c r="N57" s="28">
        <v>1</v>
      </c>
      <c r="O57" s="41" t="str">
        <f t="shared" si="22"/>
        <v/>
      </c>
      <c r="P57" s="29" t="e">
        <f>M57*N57*O57</f>
        <v>#VALUE!</v>
      </c>
    </row>
    <row r="58" spans="1:16" ht="15" customHeight="1" x14ac:dyDescent="0.35">
      <c r="A58" s="19"/>
      <c r="B58" s="19"/>
      <c r="C58" s="19"/>
      <c r="D58" s="19"/>
      <c r="E58" s="20" t="str">
        <f t="shared" si="0"/>
        <v/>
      </c>
      <c r="H58" s="28">
        <v>32</v>
      </c>
      <c r="I58" s="83" t="s">
        <v>590</v>
      </c>
      <c r="J58" s="28" t="str">
        <f t="shared" si="21"/>
        <v xml:space="preserve"> +  + </v>
      </c>
      <c r="K58" s="34">
        <v>2.7</v>
      </c>
      <c r="L58" s="34">
        <v>2.5</v>
      </c>
      <c r="M58" s="28">
        <f t="shared" si="23"/>
        <v>6.75</v>
      </c>
      <c r="N58" s="28">
        <v>1</v>
      </c>
      <c r="O58" s="41" t="str">
        <f t="shared" si="22"/>
        <v/>
      </c>
      <c r="P58" s="29" t="e">
        <f t="shared" ref="P58:P62" si="24">M58*N58*O58</f>
        <v>#VALUE!</v>
      </c>
    </row>
    <row r="59" spans="1:16" ht="15" customHeight="1" x14ac:dyDescent="0.35">
      <c r="A59" s="19"/>
      <c r="B59" s="19"/>
      <c r="C59" s="19"/>
      <c r="D59" s="19"/>
      <c r="E59" s="20" t="str">
        <f t="shared" si="0"/>
        <v/>
      </c>
      <c r="H59" s="28">
        <v>33</v>
      </c>
      <c r="I59" s="85"/>
      <c r="J59" s="28" t="str">
        <f t="shared" si="21"/>
        <v xml:space="preserve"> +  + </v>
      </c>
      <c r="K59" s="34">
        <v>2.5</v>
      </c>
      <c r="L59" s="34">
        <v>4.5</v>
      </c>
      <c r="M59" s="28">
        <f t="shared" si="23"/>
        <v>11.25</v>
      </c>
      <c r="N59" s="28">
        <v>1</v>
      </c>
      <c r="O59" s="41" t="str">
        <f t="shared" si="22"/>
        <v/>
      </c>
      <c r="P59" s="29" t="e">
        <f t="shared" si="24"/>
        <v>#VALUE!</v>
      </c>
    </row>
    <row r="60" spans="1:16" ht="15" customHeight="1" x14ac:dyDescent="0.35">
      <c r="A60" s="19"/>
      <c r="B60" s="19"/>
      <c r="C60" s="19"/>
      <c r="D60" s="19"/>
      <c r="E60" s="20" t="str">
        <f t="shared" si="0"/>
        <v/>
      </c>
      <c r="H60" s="28">
        <v>34</v>
      </c>
      <c r="I60" s="32" t="s">
        <v>596</v>
      </c>
      <c r="J60" s="28" t="str">
        <f t="shared" si="21"/>
        <v xml:space="preserve"> +  + </v>
      </c>
      <c r="K60" s="31">
        <v>7</v>
      </c>
      <c r="L60" s="28">
        <v>7</v>
      </c>
      <c r="M60" s="28">
        <f>K60*L60</f>
        <v>49</v>
      </c>
      <c r="N60" s="28">
        <v>1</v>
      </c>
      <c r="O60" s="41" t="str">
        <f t="shared" si="22"/>
        <v/>
      </c>
      <c r="P60" s="29" t="e">
        <f t="shared" si="24"/>
        <v>#VALUE!</v>
      </c>
    </row>
    <row r="61" spans="1:16" ht="15" customHeight="1" x14ac:dyDescent="0.35">
      <c r="A61" s="19"/>
      <c r="B61" s="19"/>
      <c r="C61" s="19"/>
      <c r="D61" s="19"/>
      <c r="E61" s="20" t="str">
        <f t="shared" si="0"/>
        <v/>
      </c>
      <c r="H61" s="28">
        <v>35</v>
      </c>
      <c r="I61" s="32" t="s">
        <v>597</v>
      </c>
      <c r="J61" s="28" t="str">
        <f t="shared" si="21"/>
        <v xml:space="preserve"> +  + </v>
      </c>
      <c r="K61" s="31">
        <v>7</v>
      </c>
      <c r="L61" s="28">
        <v>2</v>
      </c>
      <c r="M61" s="28">
        <f>K61*L61</f>
        <v>14</v>
      </c>
      <c r="N61" s="28">
        <v>1</v>
      </c>
      <c r="O61" s="41" t="str">
        <f t="shared" si="22"/>
        <v/>
      </c>
      <c r="P61" s="29" t="e">
        <f t="shared" si="24"/>
        <v>#VALUE!</v>
      </c>
    </row>
    <row r="62" spans="1:16" ht="15" customHeight="1" x14ac:dyDescent="0.35">
      <c r="A62" s="19"/>
      <c r="B62" s="19"/>
      <c r="C62" s="19"/>
      <c r="D62" s="19"/>
      <c r="E62" s="20" t="str">
        <f t="shared" si="0"/>
        <v/>
      </c>
      <c r="H62" s="28">
        <v>36</v>
      </c>
      <c r="I62" s="32" t="s">
        <v>598</v>
      </c>
      <c r="J62" s="28" t="str">
        <f t="shared" si="21"/>
        <v xml:space="preserve"> +  + </v>
      </c>
      <c r="K62" s="31">
        <v>1.5</v>
      </c>
      <c r="L62" s="28">
        <v>1.5</v>
      </c>
      <c r="M62" s="28">
        <f>K62*L62</f>
        <v>2.25</v>
      </c>
      <c r="N62" s="28">
        <v>1</v>
      </c>
      <c r="O62" s="41" t="str">
        <f t="shared" si="22"/>
        <v/>
      </c>
      <c r="P62" s="29" t="e">
        <f t="shared" si="24"/>
        <v>#VALUE!</v>
      </c>
    </row>
    <row r="63" spans="1:16" ht="15" customHeight="1" x14ac:dyDescent="0.35">
      <c r="A63" s="19"/>
      <c r="B63" s="19"/>
      <c r="C63" s="19"/>
      <c r="D63" s="19"/>
      <c r="E63" s="20" t="str">
        <f t="shared" si="0"/>
        <v/>
      </c>
      <c r="H63" s="70" t="s">
        <v>583</v>
      </c>
      <c r="I63" s="71"/>
      <c r="J63" s="71"/>
      <c r="K63" s="71"/>
      <c r="L63" s="71"/>
      <c r="M63" s="71"/>
      <c r="N63" s="71"/>
      <c r="O63" s="72"/>
      <c r="P63" s="25" t="e">
        <f>SUM(P56:P62)</f>
        <v>#VALUE!</v>
      </c>
    </row>
    <row r="64" spans="1:16" ht="15" customHeight="1" x14ac:dyDescent="0.35">
      <c r="A64" s="19"/>
      <c r="B64" s="19"/>
      <c r="C64" s="19"/>
      <c r="D64" s="19"/>
      <c r="E64" s="20" t="str">
        <f t="shared" si="0"/>
        <v/>
      </c>
      <c r="H64" s="94" t="s">
        <v>606</v>
      </c>
      <c r="I64" s="95"/>
      <c r="J64" s="95"/>
      <c r="K64" s="95"/>
      <c r="L64" s="95"/>
      <c r="M64" s="95"/>
      <c r="N64" s="95"/>
      <c r="O64" s="96"/>
      <c r="P64" s="27"/>
    </row>
    <row r="65" spans="1:16" ht="15" customHeight="1" x14ac:dyDescent="0.35">
      <c r="A65" s="19"/>
      <c r="B65" s="19"/>
      <c r="C65" s="19"/>
      <c r="D65" s="19"/>
      <c r="E65" s="20" t="str">
        <f t="shared" ref="E65:E128" si="25">IF(OR($A65="",$B65="",$C65="",$D65=""),"",IFERROR(INDEX(MASTERFLAT_PRICE,MATCH($A65&amp;"|"&amp;$B65&amp;"|"&amp;$C65&amp;"|"&amp;$D65,MASTERFLAT_KEY,0)),"Check Master List"))</f>
        <v/>
      </c>
      <c r="H65" s="28">
        <v>37</v>
      </c>
      <c r="I65" s="28" t="s">
        <v>607</v>
      </c>
      <c r="J65" s="28" t="str">
        <f t="shared" ref="J65:J66" si="26">B65&amp;" + "&amp;C65&amp;" + "&amp;D65</f>
        <v xml:space="preserve"> +  + </v>
      </c>
      <c r="K65" s="28">
        <v>2</v>
      </c>
      <c r="L65" s="28">
        <v>3</v>
      </c>
      <c r="M65" s="28">
        <f>+K65*L65</f>
        <v>6</v>
      </c>
      <c r="N65" s="28">
        <v>4</v>
      </c>
      <c r="O65" s="41" t="str">
        <f t="shared" ref="O65:O66" si="27">E65</f>
        <v/>
      </c>
      <c r="P65" s="29" t="e">
        <f>M65*N65*O65</f>
        <v>#VALUE!</v>
      </c>
    </row>
    <row r="66" spans="1:16" ht="15" customHeight="1" x14ac:dyDescent="0.35">
      <c r="A66" s="19"/>
      <c r="B66" s="19"/>
      <c r="C66" s="19"/>
      <c r="D66" s="19"/>
      <c r="E66" s="20" t="str">
        <f t="shared" si="25"/>
        <v/>
      </c>
      <c r="H66" s="28">
        <v>38</v>
      </c>
      <c r="I66" s="28" t="s">
        <v>608</v>
      </c>
      <c r="J66" s="28" t="str">
        <f t="shared" si="26"/>
        <v xml:space="preserve"> +  + </v>
      </c>
      <c r="K66" s="28">
        <v>2.5</v>
      </c>
      <c r="L66" s="28">
        <v>2</v>
      </c>
      <c r="M66" s="28">
        <f>+K66*L66</f>
        <v>5</v>
      </c>
      <c r="N66" s="28">
        <v>4</v>
      </c>
      <c r="O66" s="41" t="str">
        <f t="shared" si="27"/>
        <v/>
      </c>
      <c r="P66" s="29" t="e">
        <f>M66*N66*O66</f>
        <v>#VALUE!</v>
      </c>
    </row>
    <row r="67" spans="1:16" ht="15" customHeight="1" x14ac:dyDescent="0.35">
      <c r="A67" s="19"/>
      <c r="B67" s="19"/>
      <c r="C67" s="19"/>
      <c r="D67" s="19"/>
      <c r="E67" s="20" t="str">
        <f t="shared" si="25"/>
        <v/>
      </c>
      <c r="H67" s="70" t="s">
        <v>583</v>
      </c>
      <c r="I67" s="71"/>
      <c r="J67" s="71"/>
      <c r="K67" s="71"/>
      <c r="L67" s="71"/>
      <c r="M67" s="71"/>
      <c r="N67" s="71"/>
      <c r="O67" s="72"/>
      <c r="P67" s="25" t="e">
        <f>SUM(P65:P66)</f>
        <v>#VALUE!</v>
      </c>
    </row>
    <row r="68" spans="1:16" ht="15" customHeight="1" x14ac:dyDescent="0.35">
      <c r="A68" s="19"/>
      <c r="B68" s="19"/>
      <c r="C68" s="19"/>
      <c r="D68" s="19"/>
      <c r="E68" s="20" t="str">
        <f t="shared" si="25"/>
        <v/>
      </c>
      <c r="H68" s="94" t="s">
        <v>609</v>
      </c>
      <c r="I68" s="95"/>
      <c r="J68" s="95"/>
      <c r="K68" s="95"/>
      <c r="L68" s="95"/>
      <c r="M68" s="95"/>
      <c r="N68" s="95"/>
      <c r="O68" s="96"/>
      <c r="P68" s="35" t="e">
        <f>+P67+P63+P54+P47+P42+P34+P27+P22+P16</f>
        <v>#VALUE!</v>
      </c>
    </row>
    <row r="69" spans="1:16" ht="15" customHeight="1" x14ac:dyDescent="0.35">
      <c r="A69" s="19"/>
      <c r="B69" s="19"/>
      <c r="C69" s="19"/>
      <c r="D69" s="19"/>
      <c r="E69" s="20" t="str">
        <f t="shared" si="25"/>
        <v/>
      </c>
      <c r="H69" s="94" t="s">
        <v>610</v>
      </c>
      <c r="I69" s="95"/>
      <c r="J69" s="95"/>
      <c r="K69" s="95"/>
      <c r="L69" s="95"/>
      <c r="M69" s="95"/>
      <c r="N69" s="95"/>
      <c r="O69" s="96"/>
      <c r="P69" s="35" t="e">
        <f>(P68*1.18)-P68</f>
        <v>#VALUE!</v>
      </c>
    </row>
    <row r="70" spans="1:16" ht="15" customHeight="1" x14ac:dyDescent="0.35">
      <c r="A70" s="19"/>
      <c r="B70" s="19"/>
      <c r="C70" s="19"/>
      <c r="D70" s="19"/>
      <c r="E70" s="20" t="str">
        <f t="shared" si="25"/>
        <v/>
      </c>
      <c r="H70" s="100" t="s">
        <v>583</v>
      </c>
      <c r="I70" s="101"/>
      <c r="J70" s="101"/>
      <c r="K70" s="101"/>
      <c r="L70" s="101"/>
      <c r="M70" s="101"/>
      <c r="N70" s="101"/>
      <c r="O70" s="102"/>
      <c r="P70" s="36" t="e">
        <f>P68+P69</f>
        <v>#VALUE!</v>
      </c>
    </row>
    <row r="71" spans="1:16" ht="15" customHeight="1" x14ac:dyDescent="0.35">
      <c r="A71" s="19"/>
      <c r="B71" s="19"/>
      <c r="C71" s="19"/>
      <c r="D71" s="19"/>
      <c r="E71" s="20" t="str">
        <f t="shared" si="25"/>
        <v/>
      </c>
      <c r="H71" s="100" t="s">
        <v>611</v>
      </c>
      <c r="I71" s="101"/>
      <c r="J71" s="101"/>
      <c r="K71" s="101"/>
      <c r="L71" s="101"/>
      <c r="M71" s="101"/>
      <c r="N71" s="101"/>
      <c r="O71" s="102"/>
      <c r="P71" s="36"/>
    </row>
    <row r="72" spans="1:16" ht="15" customHeight="1" x14ac:dyDescent="0.35">
      <c r="A72" s="19"/>
      <c r="B72" s="19"/>
      <c r="C72" s="19"/>
      <c r="D72" s="19"/>
      <c r="E72" s="20" t="str">
        <f t="shared" si="25"/>
        <v/>
      </c>
      <c r="H72" s="37" t="s">
        <v>612</v>
      </c>
      <c r="I72" s="38" t="s">
        <v>613</v>
      </c>
      <c r="J72" s="1"/>
      <c r="K72" s="1"/>
      <c r="L72" s="1"/>
      <c r="M72" s="1"/>
      <c r="N72" s="1"/>
      <c r="O72" s="1"/>
      <c r="P72" s="39"/>
    </row>
    <row r="73" spans="1:16" ht="15" customHeight="1" x14ac:dyDescent="0.35">
      <c r="A73" s="19"/>
      <c r="B73" s="19"/>
      <c r="C73" s="19"/>
      <c r="D73" s="19"/>
      <c r="E73" s="20" t="str">
        <f t="shared" si="25"/>
        <v/>
      </c>
      <c r="H73" s="40">
        <v>1</v>
      </c>
      <c r="I73" s="99" t="s">
        <v>614</v>
      </c>
      <c r="J73" s="99"/>
      <c r="K73" s="99"/>
      <c r="L73" s="99"/>
      <c r="M73" s="99"/>
      <c r="N73" s="99"/>
      <c r="O73" s="99"/>
      <c r="P73" s="99"/>
    </row>
    <row r="74" spans="1:16" ht="15" customHeight="1" x14ac:dyDescent="0.35">
      <c r="A74" s="19"/>
      <c r="B74" s="19"/>
      <c r="C74" s="19"/>
      <c r="D74" s="19"/>
      <c r="E74" s="20" t="str">
        <f t="shared" si="25"/>
        <v/>
      </c>
      <c r="H74" s="40">
        <v>2</v>
      </c>
      <c r="I74" s="99" t="s">
        <v>615</v>
      </c>
      <c r="J74" s="99"/>
      <c r="K74" s="99"/>
      <c r="L74" s="99"/>
      <c r="M74" s="99"/>
      <c r="N74" s="99"/>
      <c r="O74" s="99"/>
      <c r="P74" s="99"/>
    </row>
    <row r="75" spans="1:16" ht="15" customHeight="1" x14ac:dyDescent="0.35">
      <c r="A75" s="19"/>
      <c r="B75" s="19"/>
      <c r="C75" s="19"/>
      <c r="D75" s="19"/>
      <c r="E75" s="20" t="str">
        <f t="shared" si="25"/>
        <v/>
      </c>
      <c r="H75" s="40">
        <v>3</v>
      </c>
      <c r="I75" s="99" t="s">
        <v>616</v>
      </c>
      <c r="J75" s="99"/>
      <c r="K75" s="99"/>
      <c r="L75" s="99"/>
      <c r="M75" s="99"/>
      <c r="N75" s="99"/>
      <c r="O75" s="99"/>
      <c r="P75" s="99"/>
    </row>
    <row r="76" spans="1:16" ht="15" customHeight="1" x14ac:dyDescent="0.35">
      <c r="A76" s="19"/>
      <c r="B76" s="19"/>
      <c r="C76" s="19"/>
      <c r="D76" s="19"/>
      <c r="E76" s="20" t="str">
        <f t="shared" si="25"/>
        <v/>
      </c>
      <c r="H76" s="40">
        <v>4</v>
      </c>
      <c r="I76" s="99" t="s">
        <v>617</v>
      </c>
      <c r="J76" s="99"/>
      <c r="K76" s="99"/>
      <c r="L76" s="99"/>
      <c r="M76" s="99"/>
      <c r="N76" s="99"/>
      <c r="O76" s="99"/>
      <c r="P76" s="99"/>
    </row>
    <row r="77" spans="1:16" ht="15" customHeight="1" x14ac:dyDescent="0.35">
      <c r="A77" s="19"/>
      <c r="B77" s="19"/>
      <c r="C77" s="19"/>
      <c r="D77" s="19"/>
      <c r="E77" s="20" t="str">
        <f t="shared" si="25"/>
        <v/>
      </c>
      <c r="H77" s="40">
        <v>5</v>
      </c>
      <c r="I77" s="99" t="s">
        <v>618</v>
      </c>
      <c r="J77" s="99"/>
      <c r="K77" s="99"/>
      <c r="L77" s="99"/>
      <c r="M77" s="99"/>
      <c r="N77" s="99"/>
      <c r="O77" s="99"/>
      <c r="P77" s="99"/>
    </row>
    <row r="78" spans="1:16" ht="15" customHeight="1" x14ac:dyDescent="0.35">
      <c r="A78" s="19"/>
      <c r="B78" s="19"/>
      <c r="C78" s="19"/>
      <c r="D78" s="19"/>
      <c r="E78" s="20" t="str">
        <f t="shared" si="25"/>
        <v/>
      </c>
      <c r="H78" s="40">
        <v>6</v>
      </c>
      <c r="I78" s="99" t="s">
        <v>619</v>
      </c>
      <c r="J78" s="99"/>
      <c r="K78" s="99"/>
      <c r="L78" s="99"/>
      <c r="M78" s="99"/>
      <c r="N78" s="99"/>
      <c r="O78" s="99"/>
      <c r="P78" s="99"/>
    </row>
    <row r="79" spans="1:16" ht="15" customHeight="1" x14ac:dyDescent="0.35">
      <c r="A79" s="19"/>
      <c r="B79" s="19"/>
      <c r="C79" s="19"/>
      <c r="D79" s="19"/>
      <c r="E79" s="20" t="str">
        <f t="shared" si="25"/>
        <v/>
      </c>
      <c r="H79" s="40">
        <v>7</v>
      </c>
      <c r="I79" s="99" t="s">
        <v>620</v>
      </c>
      <c r="J79" s="99"/>
      <c r="K79" s="99"/>
      <c r="L79" s="99"/>
      <c r="M79" s="99"/>
      <c r="N79" s="99"/>
      <c r="O79" s="99"/>
      <c r="P79" s="99"/>
    </row>
    <row r="80" spans="1:16" ht="15" customHeight="1" x14ac:dyDescent="0.35">
      <c r="A80" s="19"/>
      <c r="B80" s="19"/>
      <c r="C80" s="19"/>
      <c r="D80" s="19"/>
      <c r="E80" s="20" t="str">
        <f t="shared" si="25"/>
        <v/>
      </c>
      <c r="H80" s="40">
        <v>8</v>
      </c>
      <c r="I80" s="99" t="s">
        <v>621</v>
      </c>
      <c r="J80" s="99"/>
      <c r="K80" s="99"/>
      <c r="L80" s="99"/>
      <c r="M80" s="99"/>
      <c r="N80" s="99"/>
      <c r="O80" s="99"/>
      <c r="P80" s="99"/>
    </row>
    <row r="81" spans="1:16" ht="15" customHeight="1" x14ac:dyDescent="0.35">
      <c r="A81" s="19"/>
      <c r="B81" s="19"/>
      <c r="C81" s="19"/>
      <c r="D81" s="19"/>
      <c r="E81" s="20" t="str">
        <f t="shared" si="25"/>
        <v/>
      </c>
      <c r="H81" s="40">
        <v>9</v>
      </c>
      <c r="I81" s="99" t="s">
        <v>622</v>
      </c>
      <c r="J81" s="99"/>
      <c r="K81" s="99"/>
      <c r="L81" s="99"/>
      <c r="M81" s="99"/>
      <c r="N81" s="99"/>
      <c r="O81" s="99"/>
      <c r="P81" s="99"/>
    </row>
    <row r="82" spans="1:16" ht="15" customHeight="1" x14ac:dyDescent="0.35">
      <c r="A82" s="19"/>
      <c r="B82" s="19"/>
      <c r="C82" s="19"/>
      <c r="D82" s="19"/>
      <c r="E82" s="20" t="str">
        <f t="shared" si="25"/>
        <v/>
      </c>
      <c r="H82" s="40">
        <v>10</v>
      </c>
      <c r="I82" s="99" t="s">
        <v>623</v>
      </c>
      <c r="J82" s="99"/>
      <c r="K82" s="99"/>
      <c r="L82" s="99"/>
      <c r="M82" s="99"/>
      <c r="N82" s="99"/>
      <c r="O82" s="99"/>
      <c r="P82" s="99"/>
    </row>
    <row r="83" spans="1:16" ht="15" customHeight="1" x14ac:dyDescent="0.35">
      <c r="A83" s="19"/>
      <c r="B83" s="19"/>
      <c r="C83" s="19"/>
      <c r="D83" s="19"/>
      <c r="E83" s="20" t="str">
        <f t="shared" si="25"/>
        <v/>
      </c>
      <c r="H83" s="40">
        <v>11</v>
      </c>
      <c r="I83" s="99" t="s">
        <v>624</v>
      </c>
      <c r="J83" s="99"/>
      <c r="K83" s="99"/>
      <c r="L83" s="99"/>
      <c r="M83" s="99"/>
      <c r="N83" s="99"/>
      <c r="O83" s="99"/>
      <c r="P83" s="99"/>
    </row>
    <row r="84" spans="1:16" ht="15" customHeight="1" x14ac:dyDescent="0.35">
      <c r="A84" s="19"/>
      <c r="B84" s="19"/>
      <c r="C84" s="19"/>
      <c r="D84" s="19"/>
      <c r="E84" s="20" t="str">
        <f t="shared" si="25"/>
        <v/>
      </c>
      <c r="H84" s="40">
        <v>12</v>
      </c>
      <c r="I84" s="99" t="s">
        <v>625</v>
      </c>
      <c r="J84" s="99"/>
      <c r="K84" s="99"/>
      <c r="L84" s="99"/>
      <c r="M84" s="99"/>
      <c r="N84" s="99"/>
      <c r="O84" s="99"/>
      <c r="P84" s="99"/>
    </row>
    <row r="85" spans="1:16" ht="15" customHeight="1" x14ac:dyDescent="0.35">
      <c r="A85" s="19"/>
      <c r="B85" s="19"/>
      <c r="C85" s="19"/>
      <c r="D85" s="19"/>
      <c r="E85" s="20" t="str">
        <f t="shared" si="25"/>
        <v/>
      </c>
      <c r="H85" s="40">
        <v>13</v>
      </c>
      <c r="I85" s="99" t="s">
        <v>626</v>
      </c>
      <c r="J85" s="99"/>
      <c r="K85" s="99"/>
      <c r="L85" s="99"/>
      <c r="M85" s="99"/>
      <c r="N85" s="99"/>
      <c r="O85" s="99"/>
      <c r="P85" s="99"/>
    </row>
    <row r="86" spans="1:16" ht="15" customHeight="1" x14ac:dyDescent="0.35">
      <c r="A86" s="19"/>
      <c r="B86" s="19"/>
      <c r="C86" s="19"/>
      <c r="D86" s="19"/>
      <c r="E86" s="20" t="str">
        <f t="shared" si="25"/>
        <v/>
      </c>
    </row>
    <row r="87" spans="1:16" ht="15" customHeight="1" x14ac:dyDescent="0.35">
      <c r="A87" s="19"/>
      <c r="B87" s="19"/>
      <c r="C87" s="19"/>
      <c r="D87" s="19"/>
      <c r="E87" s="20" t="str">
        <f t="shared" si="25"/>
        <v/>
      </c>
    </row>
    <row r="88" spans="1:16" ht="15" customHeight="1" x14ac:dyDescent="0.35">
      <c r="A88" s="19"/>
      <c r="B88" s="19"/>
      <c r="C88" s="19"/>
      <c r="D88" s="19"/>
      <c r="E88" s="20" t="str">
        <f t="shared" si="25"/>
        <v/>
      </c>
    </row>
    <row r="89" spans="1:16" ht="15" customHeight="1" x14ac:dyDescent="0.35">
      <c r="A89" s="19"/>
      <c r="B89" s="19"/>
      <c r="C89" s="19"/>
      <c r="D89" s="19"/>
      <c r="E89" s="20" t="str">
        <f t="shared" si="25"/>
        <v/>
      </c>
    </row>
    <row r="90" spans="1:16" ht="15" customHeight="1" x14ac:dyDescent="0.35">
      <c r="A90" s="19"/>
      <c r="B90" s="19"/>
      <c r="C90" s="19"/>
      <c r="D90" s="19"/>
      <c r="E90" s="20" t="str">
        <f t="shared" si="25"/>
        <v/>
      </c>
    </row>
    <row r="91" spans="1:16" ht="15" customHeight="1" x14ac:dyDescent="0.35">
      <c r="A91" s="19"/>
      <c r="B91" s="19"/>
      <c r="C91" s="19"/>
      <c r="D91" s="19"/>
      <c r="E91" s="20" t="str">
        <f t="shared" si="25"/>
        <v/>
      </c>
    </row>
    <row r="92" spans="1:16" ht="15" customHeight="1" x14ac:dyDescent="0.35">
      <c r="A92" s="19"/>
      <c r="B92" s="19"/>
      <c r="C92" s="19"/>
      <c r="D92" s="19"/>
      <c r="E92" s="20" t="str">
        <f t="shared" si="25"/>
        <v/>
      </c>
    </row>
    <row r="93" spans="1:16" ht="15" customHeight="1" x14ac:dyDescent="0.35">
      <c r="A93" s="19"/>
      <c r="B93" s="19"/>
      <c r="C93" s="19"/>
      <c r="D93" s="19"/>
      <c r="E93" s="20" t="str">
        <f t="shared" si="25"/>
        <v/>
      </c>
    </row>
    <row r="94" spans="1:16" ht="15" customHeight="1" x14ac:dyDescent="0.35">
      <c r="A94" s="19"/>
      <c r="B94" s="19"/>
      <c r="C94" s="19"/>
      <c r="D94" s="19"/>
      <c r="E94" s="20" t="str">
        <f t="shared" si="25"/>
        <v/>
      </c>
    </row>
    <row r="95" spans="1:16" ht="15" customHeight="1" x14ac:dyDescent="0.35">
      <c r="A95" s="19"/>
      <c r="B95" s="19"/>
      <c r="C95" s="19"/>
      <c r="D95" s="19"/>
      <c r="E95" s="20" t="str">
        <f t="shared" si="25"/>
        <v/>
      </c>
    </row>
    <row r="96" spans="1:16" ht="15" customHeight="1" x14ac:dyDescent="0.35">
      <c r="A96" s="19"/>
      <c r="B96" s="19"/>
      <c r="C96" s="19"/>
      <c r="D96" s="19"/>
      <c r="E96" s="20" t="str">
        <f t="shared" si="25"/>
        <v/>
      </c>
    </row>
    <row r="97" spans="1:5" ht="15" customHeight="1" x14ac:dyDescent="0.35">
      <c r="A97" s="19"/>
      <c r="B97" s="19"/>
      <c r="C97" s="19"/>
      <c r="D97" s="19"/>
      <c r="E97" s="20" t="str">
        <f t="shared" si="25"/>
        <v/>
      </c>
    </row>
    <row r="98" spans="1:5" ht="15" customHeight="1" x14ac:dyDescent="0.35">
      <c r="A98" s="19"/>
      <c r="B98" s="19"/>
      <c r="C98" s="19"/>
      <c r="D98" s="19"/>
      <c r="E98" s="20" t="str">
        <f t="shared" si="25"/>
        <v/>
      </c>
    </row>
    <row r="99" spans="1:5" ht="15" customHeight="1" x14ac:dyDescent="0.35">
      <c r="A99" s="19"/>
      <c r="B99" s="19"/>
      <c r="C99" s="19"/>
      <c r="D99" s="19"/>
      <c r="E99" s="20" t="str">
        <f t="shared" si="25"/>
        <v/>
      </c>
    </row>
    <row r="100" spans="1:5" ht="15" customHeight="1" x14ac:dyDescent="0.35">
      <c r="A100" s="19"/>
      <c r="B100" s="19"/>
      <c r="C100" s="19"/>
      <c r="D100" s="19"/>
      <c r="E100" s="20" t="str">
        <f t="shared" si="25"/>
        <v/>
      </c>
    </row>
    <row r="101" spans="1:5" ht="15" customHeight="1" x14ac:dyDescent="0.35">
      <c r="A101" s="19"/>
      <c r="B101" s="19"/>
      <c r="C101" s="19"/>
      <c r="D101" s="19"/>
      <c r="E101" s="20" t="str">
        <f t="shared" si="25"/>
        <v/>
      </c>
    </row>
    <row r="102" spans="1:5" ht="15" customHeight="1" x14ac:dyDescent="0.35">
      <c r="A102" s="19"/>
      <c r="B102" s="19"/>
      <c r="C102" s="19"/>
      <c r="D102" s="19"/>
      <c r="E102" s="20" t="str">
        <f t="shared" si="25"/>
        <v/>
      </c>
    </row>
    <row r="103" spans="1:5" ht="15" customHeight="1" x14ac:dyDescent="0.35">
      <c r="A103" s="19"/>
      <c r="B103" s="19"/>
      <c r="C103" s="19"/>
      <c r="D103" s="19"/>
      <c r="E103" s="20" t="str">
        <f t="shared" si="25"/>
        <v/>
      </c>
    </row>
    <row r="104" spans="1:5" ht="15" customHeight="1" x14ac:dyDescent="0.35">
      <c r="A104" s="19"/>
      <c r="B104" s="19"/>
      <c r="C104" s="19"/>
      <c r="D104" s="19"/>
      <c r="E104" s="20" t="str">
        <f t="shared" si="25"/>
        <v/>
      </c>
    </row>
    <row r="105" spans="1:5" ht="15" customHeight="1" x14ac:dyDescent="0.35">
      <c r="A105" s="19"/>
      <c r="B105" s="19"/>
      <c r="C105" s="19"/>
      <c r="D105" s="19"/>
      <c r="E105" s="20" t="str">
        <f t="shared" si="25"/>
        <v/>
      </c>
    </row>
    <row r="106" spans="1:5" ht="15" customHeight="1" x14ac:dyDescent="0.35">
      <c r="A106" s="19"/>
      <c r="B106" s="19"/>
      <c r="C106" s="19"/>
      <c r="D106" s="19"/>
      <c r="E106" s="20" t="str">
        <f t="shared" si="25"/>
        <v/>
      </c>
    </row>
    <row r="107" spans="1:5" ht="15" customHeight="1" x14ac:dyDescent="0.35">
      <c r="A107" s="19"/>
      <c r="B107" s="19"/>
      <c r="C107" s="19"/>
      <c r="D107" s="19"/>
      <c r="E107" s="20" t="str">
        <f t="shared" si="25"/>
        <v/>
      </c>
    </row>
    <row r="108" spans="1:5" ht="15" customHeight="1" x14ac:dyDescent="0.35">
      <c r="A108" s="19"/>
      <c r="B108" s="19"/>
      <c r="C108" s="19"/>
      <c r="D108" s="19"/>
      <c r="E108" s="20" t="str">
        <f t="shared" si="25"/>
        <v/>
      </c>
    </row>
    <row r="109" spans="1:5" ht="15" customHeight="1" x14ac:dyDescent="0.35">
      <c r="A109" s="19"/>
      <c r="B109" s="19"/>
      <c r="C109" s="19"/>
      <c r="D109" s="19"/>
      <c r="E109" s="20" t="str">
        <f t="shared" si="25"/>
        <v/>
      </c>
    </row>
    <row r="110" spans="1:5" ht="15" customHeight="1" x14ac:dyDescent="0.35">
      <c r="A110" s="19"/>
      <c r="B110" s="19"/>
      <c r="C110" s="19"/>
      <c r="D110" s="19"/>
      <c r="E110" s="20" t="str">
        <f t="shared" si="25"/>
        <v/>
      </c>
    </row>
    <row r="111" spans="1:5" ht="15" customHeight="1" x14ac:dyDescent="0.35">
      <c r="A111" s="19"/>
      <c r="B111" s="19"/>
      <c r="C111" s="19"/>
      <c r="D111" s="19"/>
      <c r="E111" s="20" t="str">
        <f t="shared" si="25"/>
        <v/>
      </c>
    </row>
    <row r="112" spans="1:5" ht="15" customHeight="1" x14ac:dyDescent="0.35">
      <c r="A112" s="19"/>
      <c r="B112" s="19"/>
      <c r="C112" s="19"/>
      <c r="D112" s="19"/>
      <c r="E112" s="20" t="str">
        <f t="shared" si="25"/>
        <v/>
      </c>
    </row>
    <row r="113" spans="1:5" ht="15" customHeight="1" x14ac:dyDescent="0.35">
      <c r="A113" s="19"/>
      <c r="B113" s="19"/>
      <c r="C113" s="19"/>
      <c r="D113" s="19"/>
      <c r="E113" s="20" t="str">
        <f t="shared" si="25"/>
        <v/>
      </c>
    </row>
    <row r="114" spans="1:5" ht="15" customHeight="1" x14ac:dyDescent="0.35">
      <c r="A114" s="19"/>
      <c r="B114" s="19"/>
      <c r="C114" s="19"/>
      <c r="D114" s="19"/>
      <c r="E114" s="20" t="str">
        <f t="shared" si="25"/>
        <v/>
      </c>
    </row>
    <row r="115" spans="1:5" ht="15" customHeight="1" x14ac:dyDescent="0.35">
      <c r="A115" s="19"/>
      <c r="B115" s="19"/>
      <c r="C115" s="19"/>
      <c r="D115" s="19"/>
      <c r="E115" s="20" t="str">
        <f t="shared" si="25"/>
        <v/>
      </c>
    </row>
    <row r="116" spans="1:5" ht="15" customHeight="1" x14ac:dyDescent="0.35">
      <c r="A116" s="19"/>
      <c r="B116" s="19"/>
      <c r="C116" s="19"/>
      <c r="D116" s="19"/>
      <c r="E116" s="20" t="str">
        <f t="shared" si="25"/>
        <v/>
      </c>
    </row>
    <row r="117" spans="1:5" ht="15" customHeight="1" x14ac:dyDescent="0.35">
      <c r="A117" s="19"/>
      <c r="B117" s="19"/>
      <c r="C117" s="19"/>
      <c r="D117" s="19"/>
      <c r="E117" s="20" t="str">
        <f t="shared" si="25"/>
        <v/>
      </c>
    </row>
    <row r="118" spans="1:5" ht="15" customHeight="1" x14ac:dyDescent="0.35">
      <c r="A118" s="19"/>
      <c r="B118" s="19"/>
      <c r="C118" s="19"/>
      <c r="D118" s="19"/>
      <c r="E118" s="20" t="str">
        <f t="shared" si="25"/>
        <v/>
      </c>
    </row>
    <row r="119" spans="1:5" ht="15" customHeight="1" x14ac:dyDescent="0.35">
      <c r="A119" s="19"/>
      <c r="B119" s="19"/>
      <c r="C119" s="19"/>
      <c r="D119" s="19"/>
      <c r="E119" s="20" t="str">
        <f t="shared" si="25"/>
        <v/>
      </c>
    </row>
    <row r="120" spans="1:5" ht="15" customHeight="1" x14ac:dyDescent="0.35">
      <c r="A120" s="19"/>
      <c r="B120" s="19"/>
      <c r="C120" s="19"/>
      <c r="D120" s="19"/>
      <c r="E120" s="20" t="str">
        <f t="shared" si="25"/>
        <v/>
      </c>
    </row>
    <row r="121" spans="1:5" ht="15" customHeight="1" x14ac:dyDescent="0.35">
      <c r="A121" s="19"/>
      <c r="B121" s="19"/>
      <c r="C121" s="19"/>
      <c r="D121" s="19"/>
      <c r="E121" s="20" t="str">
        <f t="shared" si="25"/>
        <v/>
      </c>
    </row>
    <row r="122" spans="1:5" ht="15" customHeight="1" x14ac:dyDescent="0.35">
      <c r="A122" s="19"/>
      <c r="B122" s="19"/>
      <c r="C122" s="19"/>
      <c r="D122" s="19"/>
      <c r="E122" s="20" t="str">
        <f t="shared" si="25"/>
        <v/>
      </c>
    </row>
    <row r="123" spans="1:5" ht="15" customHeight="1" x14ac:dyDescent="0.35">
      <c r="A123" s="19"/>
      <c r="B123" s="19"/>
      <c r="C123" s="19"/>
      <c r="D123" s="19"/>
      <c r="E123" s="20" t="str">
        <f t="shared" si="25"/>
        <v/>
      </c>
    </row>
    <row r="124" spans="1:5" ht="15" customHeight="1" x14ac:dyDescent="0.35">
      <c r="A124" s="19"/>
      <c r="B124" s="19"/>
      <c r="C124" s="19"/>
      <c r="D124" s="19"/>
      <c r="E124" s="20" t="str">
        <f t="shared" si="25"/>
        <v/>
      </c>
    </row>
    <row r="125" spans="1:5" ht="15" customHeight="1" x14ac:dyDescent="0.35">
      <c r="A125" s="19"/>
      <c r="B125" s="19"/>
      <c r="C125" s="19"/>
      <c r="D125" s="19"/>
      <c r="E125" s="20" t="str">
        <f t="shared" si="25"/>
        <v/>
      </c>
    </row>
    <row r="126" spans="1:5" ht="15" customHeight="1" x14ac:dyDescent="0.35">
      <c r="A126" s="19"/>
      <c r="B126" s="19"/>
      <c r="C126" s="19"/>
      <c r="D126" s="19"/>
      <c r="E126" s="20" t="str">
        <f t="shared" si="25"/>
        <v/>
      </c>
    </row>
    <row r="127" spans="1:5" ht="15" customHeight="1" x14ac:dyDescent="0.35">
      <c r="A127" s="19"/>
      <c r="B127" s="19"/>
      <c r="C127" s="19"/>
      <c r="D127" s="19"/>
      <c r="E127" s="20" t="str">
        <f t="shared" si="25"/>
        <v/>
      </c>
    </row>
    <row r="128" spans="1:5" ht="15" customHeight="1" x14ac:dyDescent="0.35">
      <c r="A128" s="19"/>
      <c r="B128" s="19"/>
      <c r="C128" s="19"/>
      <c r="D128" s="19"/>
      <c r="E128" s="20" t="str">
        <f t="shared" si="25"/>
        <v/>
      </c>
    </row>
    <row r="129" spans="1:5" ht="15" customHeight="1" x14ac:dyDescent="0.35">
      <c r="A129" s="19"/>
      <c r="B129" s="19"/>
      <c r="C129" s="19"/>
      <c r="D129" s="19"/>
      <c r="E129" s="20" t="str">
        <f t="shared" ref="E129:E192" si="28">IF(OR($A129="",$B129="",$C129="",$D129=""),"",IFERROR(INDEX(MASTERFLAT_PRICE,MATCH($A129&amp;"|"&amp;$B129&amp;"|"&amp;$C129&amp;"|"&amp;$D129,MASTERFLAT_KEY,0)),"Check Master List"))</f>
        <v/>
      </c>
    </row>
    <row r="130" spans="1:5" ht="15" customHeight="1" x14ac:dyDescent="0.35">
      <c r="A130" s="19"/>
      <c r="B130" s="19"/>
      <c r="C130" s="19"/>
      <c r="D130" s="19"/>
      <c r="E130" s="20" t="str">
        <f t="shared" si="28"/>
        <v/>
      </c>
    </row>
    <row r="131" spans="1:5" ht="15" customHeight="1" x14ac:dyDescent="0.35">
      <c r="A131" s="19"/>
      <c r="B131" s="19"/>
      <c r="C131" s="19"/>
      <c r="D131" s="19"/>
      <c r="E131" s="20" t="str">
        <f t="shared" si="28"/>
        <v/>
      </c>
    </row>
    <row r="132" spans="1:5" ht="15" customHeight="1" x14ac:dyDescent="0.35">
      <c r="A132" s="19"/>
      <c r="B132" s="19"/>
      <c r="C132" s="19"/>
      <c r="D132" s="19"/>
      <c r="E132" s="20" t="str">
        <f t="shared" si="28"/>
        <v/>
      </c>
    </row>
    <row r="133" spans="1:5" ht="15" customHeight="1" x14ac:dyDescent="0.35">
      <c r="A133" s="19"/>
      <c r="B133" s="19"/>
      <c r="C133" s="19"/>
      <c r="D133" s="19"/>
      <c r="E133" s="20" t="str">
        <f t="shared" si="28"/>
        <v/>
      </c>
    </row>
    <row r="134" spans="1:5" ht="15" customHeight="1" x14ac:dyDescent="0.35">
      <c r="A134" s="19"/>
      <c r="B134" s="19"/>
      <c r="C134" s="19"/>
      <c r="D134" s="19"/>
      <c r="E134" s="20" t="str">
        <f t="shared" si="28"/>
        <v/>
      </c>
    </row>
    <row r="135" spans="1:5" ht="15" customHeight="1" x14ac:dyDescent="0.35">
      <c r="A135" s="19"/>
      <c r="B135" s="19"/>
      <c r="C135" s="19"/>
      <c r="D135" s="19"/>
      <c r="E135" s="20" t="str">
        <f t="shared" si="28"/>
        <v/>
      </c>
    </row>
    <row r="136" spans="1:5" ht="15" customHeight="1" x14ac:dyDescent="0.35">
      <c r="A136" s="19"/>
      <c r="B136" s="19"/>
      <c r="C136" s="19"/>
      <c r="D136" s="19"/>
      <c r="E136" s="20" t="str">
        <f t="shared" si="28"/>
        <v/>
      </c>
    </row>
    <row r="137" spans="1:5" ht="15" customHeight="1" x14ac:dyDescent="0.35">
      <c r="A137" s="19"/>
      <c r="B137" s="19"/>
      <c r="C137" s="19"/>
      <c r="D137" s="19"/>
      <c r="E137" s="20" t="str">
        <f t="shared" si="28"/>
        <v/>
      </c>
    </row>
    <row r="138" spans="1:5" ht="15" customHeight="1" x14ac:dyDescent="0.35">
      <c r="A138" s="19"/>
      <c r="B138" s="19"/>
      <c r="C138" s="19"/>
      <c r="D138" s="19"/>
      <c r="E138" s="20" t="str">
        <f t="shared" si="28"/>
        <v/>
      </c>
    </row>
    <row r="139" spans="1:5" ht="15" customHeight="1" x14ac:dyDescent="0.35">
      <c r="A139" s="19"/>
      <c r="B139" s="19"/>
      <c r="C139" s="19"/>
      <c r="D139" s="19"/>
      <c r="E139" s="20" t="str">
        <f t="shared" si="28"/>
        <v/>
      </c>
    </row>
    <row r="140" spans="1:5" ht="15" customHeight="1" x14ac:dyDescent="0.35">
      <c r="A140" s="19"/>
      <c r="B140" s="19"/>
      <c r="C140" s="19"/>
      <c r="D140" s="19"/>
      <c r="E140" s="20" t="str">
        <f t="shared" si="28"/>
        <v/>
      </c>
    </row>
    <row r="141" spans="1:5" ht="15" customHeight="1" x14ac:dyDescent="0.35">
      <c r="A141" s="19"/>
      <c r="B141" s="19"/>
      <c r="C141" s="19"/>
      <c r="D141" s="19"/>
      <c r="E141" s="20" t="str">
        <f t="shared" si="28"/>
        <v/>
      </c>
    </row>
    <row r="142" spans="1:5" ht="15" customHeight="1" x14ac:dyDescent="0.35">
      <c r="A142" s="19"/>
      <c r="B142" s="19"/>
      <c r="C142" s="19"/>
      <c r="D142" s="19"/>
      <c r="E142" s="20" t="str">
        <f t="shared" si="28"/>
        <v/>
      </c>
    </row>
    <row r="143" spans="1:5" ht="15" customHeight="1" x14ac:dyDescent="0.35">
      <c r="A143" s="19"/>
      <c r="B143" s="19"/>
      <c r="C143" s="19"/>
      <c r="D143" s="19"/>
      <c r="E143" s="20" t="str">
        <f t="shared" si="28"/>
        <v/>
      </c>
    </row>
    <row r="144" spans="1:5" ht="15" customHeight="1" x14ac:dyDescent="0.35">
      <c r="A144" s="19"/>
      <c r="B144" s="19"/>
      <c r="C144" s="19"/>
      <c r="D144" s="19"/>
      <c r="E144" s="20" t="str">
        <f t="shared" si="28"/>
        <v/>
      </c>
    </row>
    <row r="145" spans="1:5" ht="15" customHeight="1" x14ac:dyDescent="0.35">
      <c r="A145" s="19"/>
      <c r="B145" s="19"/>
      <c r="C145" s="19"/>
      <c r="D145" s="19"/>
      <c r="E145" s="20" t="str">
        <f t="shared" si="28"/>
        <v/>
      </c>
    </row>
    <row r="146" spans="1:5" ht="15" customHeight="1" x14ac:dyDescent="0.35">
      <c r="A146" s="19"/>
      <c r="B146" s="19"/>
      <c r="C146" s="19"/>
      <c r="D146" s="19"/>
      <c r="E146" s="20" t="str">
        <f t="shared" si="28"/>
        <v/>
      </c>
    </row>
    <row r="147" spans="1:5" ht="15" customHeight="1" x14ac:dyDescent="0.35">
      <c r="A147" s="19"/>
      <c r="B147" s="19"/>
      <c r="C147" s="19"/>
      <c r="D147" s="19"/>
      <c r="E147" s="20" t="str">
        <f t="shared" si="28"/>
        <v/>
      </c>
    </row>
    <row r="148" spans="1:5" ht="15" customHeight="1" x14ac:dyDescent="0.35">
      <c r="A148" s="19"/>
      <c r="B148" s="19"/>
      <c r="C148" s="19"/>
      <c r="D148" s="19"/>
      <c r="E148" s="20" t="str">
        <f t="shared" si="28"/>
        <v/>
      </c>
    </row>
    <row r="149" spans="1:5" ht="15" customHeight="1" x14ac:dyDescent="0.35">
      <c r="A149" s="19"/>
      <c r="B149" s="19"/>
      <c r="C149" s="19"/>
      <c r="D149" s="19"/>
      <c r="E149" s="20" t="str">
        <f t="shared" si="28"/>
        <v/>
      </c>
    </row>
    <row r="150" spans="1:5" ht="15" customHeight="1" x14ac:dyDescent="0.35">
      <c r="A150" s="19"/>
      <c r="B150" s="19"/>
      <c r="C150" s="19"/>
      <c r="D150" s="19"/>
      <c r="E150" s="20" t="str">
        <f t="shared" si="28"/>
        <v/>
      </c>
    </row>
    <row r="151" spans="1:5" ht="15" customHeight="1" x14ac:dyDescent="0.35">
      <c r="A151" s="19"/>
      <c r="B151" s="19"/>
      <c r="C151" s="19"/>
      <c r="D151" s="19"/>
      <c r="E151" s="20" t="str">
        <f t="shared" si="28"/>
        <v/>
      </c>
    </row>
    <row r="152" spans="1:5" ht="15" customHeight="1" x14ac:dyDescent="0.35">
      <c r="A152" s="19"/>
      <c r="B152" s="19"/>
      <c r="C152" s="19"/>
      <c r="D152" s="19"/>
      <c r="E152" s="20" t="str">
        <f t="shared" si="28"/>
        <v/>
      </c>
    </row>
    <row r="153" spans="1:5" ht="15" customHeight="1" x14ac:dyDescent="0.35">
      <c r="A153" s="19"/>
      <c r="B153" s="19"/>
      <c r="C153" s="19"/>
      <c r="D153" s="19"/>
      <c r="E153" s="20" t="str">
        <f t="shared" si="28"/>
        <v/>
      </c>
    </row>
    <row r="154" spans="1:5" ht="15" customHeight="1" x14ac:dyDescent="0.35">
      <c r="A154" s="19"/>
      <c r="B154" s="19"/>
      <c r="C154" s="19"/>
      <c r="D154" s="19"/>
      <c r="E154" s="20" t="str">
        <f t="shared" si="28"/>
        <v/>
      </c>
    </row>
    <row r="155" spans="1:5" ht="15" customHeight="1" x14ac:dyDescent="0.35">
      <c r="A155" s="19"/>
      <c r="B155" s="19"/>
      <c r="C155" s="19"/>
      <c r="D155" s="19"/>
      <c r="E155" s="20" t="str">
        <f t="shared" si="28"/>
        <v/>
      </c>
    </row>
    <row r="156" spans="1:5" ht="15" customHeight="1" x14ac:dyDescent="0.35">
      <c r="A156" s="19"/>
      <c r="B156" s="19"/>
      <c r="C156" s="19"/>
      <c r="D156" s="19"/>
      <c r="E156" s="20" t="str">
        <f t="shared" si="28"/>
        <v/>
      </c>
    </row>
    <row r="157" spans="1:5" ht="15" customHeight="1" x14ac:dyDescent="0.35">
      <c r="A157" s="19"/>
      <c r="B157" s="19"/>
      <c r="C157" s="19"/>
      <c r="D157" s="19"/>
      <c r="E157" s="20" t="str">
        <f t="shared" si="28"/>
        <v/>
      </c>
    </row>
    <row r="158" spans="1:5" ht="15" customHeight="1" x14ac:dyDescent="0.35">
      <c r="A158" s="19"/>
      <c r="B158" s="19"/>
      <c r="C158" s="19"/>
      <c r="D158" s="19"/>
      <c r="E158" s="20" t="str">
        <f t="shared" si="28"/>
        <v/>
      </c>
    </row>
    <row r="159" spans="1:5" ht="15" customHeight="1" x14ac:dyDescent="0.35">
      <c r="A159" s="19"/>
      <c r="B159" s="19"/>
      <c r="C159" s="19"/>
      <c r="D159" s="19"/>
      <c r="E159" s="20" t="str">
        <f t="shared" si="28"/>
        <v/>
      </c>
    </row>
    <row r="160" spans="1:5" ht="15" customHeight="1" x14ac:dyDescent="0.35">
      <c r="A160" s="19"/>
      <c r="B160" s="19"/>
      <c r="C160" s="19"/>
      <c r="D160" s="19"/>
      <c r="E160" s="20" t="str">
        <f t="shared" si="28"/>
        <v/>
      </c>
    </row>
    <row r="161" spans="1:5" ht="15" customHeight="1" x14ac:dyDescent="0.35">
      <c r="A161" s="19"/>
      <c r="B161" s="19"/>
      <c r="C161" s="19"/>
      <c r="D161" s="19"/>
      <c r="E161" s="20" t="str">
        <f t="shared" si="28"/>
        <v/>
      </c>
    </row>
    <row r="162" spans="1:5" ht="15" customHeight="1" x14ac:dyDescent="0.35">
      <c r="A162" s="19"/>
      <c r="B162" s="19"/>
      <c r="C162" s="19"/>
      <c r="D162" s="19"/>
      <c r="E162" s="20" t="str">
        <f t="shared" si="28"/>
        <v/>
      </c>
    </row>
    <row r="163" spans="1:5" ht="15" customHeight="1" x14ac:dyDescent="0.35">
      <c r="A163" s="19"/>
      <c r="B163" s="19"/>
      <c r="C163" s="19"/>
      <c r="D163" s="19"/>
      <c r="E163" s="20" t="str">
        <f t="shared" si="28"/>
        <v/>
      </c>
    </row>
    <row r="164" spans="1:5" ht="15" customHeight="1" x14ac:dyDescent="0.35">
      <c r="A164" s="19"/>
      <c r="B164" s="19"/>
      <c r="C164" s="19"/>
      <c r="D164" s="19"/>
      <c r="E164" s="20" t="str">
        <f t="shared" si="28"/>
        <v/>
      </c>
    </row>
    <row r="165" spans="1:5" ht="15" customHeight="1" x14ac:dyDescent="0.35">
      <c r="A165" s="19"/>
      <c r="B165" s="19"/>
      <c r="C165" s="19"/>
      <c r="D165" s="19"/>
      <c r="E165" s="20" t="str">
        <f t="shared" si="28"/>
        <v/>
      </c>
    </row>
    <row r="166" spans="1:5" ht="15" customHeight="1" x14ac:dyDescent="0.35">
      <c r="A166" s="19"/>
      <c r="B166" s="19"/>
      <c r="C166" s="19"/>
      <c r="D166" s="19"/>
      <c r="E166" s="20" t="str">
        <f t="shared" si="28"/>
        <v/>
      </c>
    </row>
    <row r="167" spans="1:5" ht="15" customHeight="1" x14ac:dyDescent="0.35">
      <c r="A167" s="19"/>
      <c r="B167" s="19"/>
      <c r="C167" s="19"/>
      <c r="D167" s="19"/>
      <c r="E167" s="20" t="str">
        <f t="shared" si="28"/>
        <v/>
      </c>
    </row>
    <row r="168" spans="1:5" ht="15" customHeight="1" x14ac:dyDescent="0.35">
      <c r="A168" s="19"/>
      <c r="B168" s="19"/>
      <c r="C168" s="19"/>
      <c r="D168" s="19"/>
      <c r="E168" s="20" t="str">
        <f t="shared" si="28"/>
        <v/>
      </c>
    </row>
    <row r="169" spans="1:5" ht="15" customHeight="1" x14ac:dyDescent="0.35">
      <c r="A169" s="19"/>
      <c r="B169" s="19"/>
      <c r="C169" s="19"/>
      <c r="D169" s="19"/>
      <c r="E169" s="20" t="str">
        <f t="shared" si="28"/>
        <v/>
      </c>
    </row>
    <row r="170" spans="1:5" ht="15" customHeight="1" x14ac:dyDescent="0.35">
      <c r="A170" s="19"/>
      <c r="B170" s="19"/>
      <c r="C170" s="19"/>
      <c r="D170" s="19"/>
      <c r="E170" s="20" t="str">
        <f t="shared" si="28"/>
        <v/>
      </c>
    </row>
    <row r="171" spans="1:5" ht="15" customHeight="1" x14ac:dyDescent="0.35">
      <c r="A171" s="19"/>
      <c r="B171" s="19"/>
      <c r="C171" s="19"/>
      <c r="D171" s="19"/>
      <c r="E171" s="20" t="str">
        <f t="shared" si="28"/>
        <v/>
      </c>
    </row>
    <row r="172" spans="1:5" ht="15" customHeight="1" x14ac:dyDescent="0.35">
      <c r="A172" s="19"/>
      <c r="B172" s="19"/>
      <c r="C172" s="19"/>
      <c r="D172" s="19"/>
      <c r="E172" s="20" t="str">
        <f t="shared" si="28"/>
        <v/>
      </c>
    </row>
    <row r="173" spans="1:5" ht="15" customHeight="1" x14ac:dyDescent="0.35">
      <c r="A173" s="19"/>
      <c r="B173" s="19"/>
      <c r="C173" s="19"/>
      <c r="D173" s="19"/>
      <c r="E173" s="20" t="str">
        <f t="shared" si="28"/>
        <v/>
      </c>
    </row>
    <row r="174" spans="1:5" ht="15" customHeight="1" x14ac:dyDescent="0.35">
      <c r="A174" s="19"/>
      <c r="B174" s="19"/>
      <c r="C174" s="19"/>
      <c r="D174" s="19"/>
      <c r="E174" s="20" t="str">
        <f t="shared" si="28"/>
        <v/>
      </c>
    </row>
    <row r="175" spans="1:5" ht="15" customHeight="1" x14ac:dyDescent="0.35">
      <c r="A175" s="19"/>
      <c r="B175" s="19"/>
      <c r="C175" s="19"/>
      <c r="D175" s="19"/>
      <c r="E175" s="20" t="str">
        <f t="shared" si="28"/>
        <v/>
      </c>
    </row>
    <row r="176" spans="1:5" ht="15" customHeight="1" x14ac:dyDescent="0.35">
      <c r="A176" s="19"/>
      <c r="B176" s="19"/>
      <c r="C176" s="19"/>
      <c r="D176" s="19"/>
      <c r="E176" s="20" t="str">
        <f t="shared" si="28"/>
        <v/>
      </c>
    </row>
    <row r="177" spans="1:5" ht="15" customHeight="1" x14ac:dyDescent="0.35">
      <c r="A177" s="19"/>
      <c r="B177" s="19"/>
      <c r="C177" s="19"/>
      <c r="D177" s="19"/>
      <c r="E177" s="20" t="str">
        <f t="shared" si="28"/>
        <v/>
      </c>
    </row>
    <row r="178" spans="1:5" ht="15" customHeight="1" x14ac:dyDescent="0.35">
      <c r="A178" s="19"/>
      <c r="B178" s="19"/>
      <c r="C178" s="19"/>
      <c r="D178" s="19"/>
      <c r="E178" s="20" t="str">
        <f t="shared" si="28"/>
        <v/>
      </c>
    </row>
    <row r="179" spans="1:5" ht="15" customHeight="1" x14ac:dyDescent="0.35">
      <c r="A179" s="19"/>
      <c r="B179" s="19"/>
      <c r="C179" s="19"/>
      <c r="D179" s="19"/>
      <c r="E179" s="20" t="str">
        <f t="shared" si="28"/>
        <v/>
      </c>
    </row>
    <row r="180" spans="1:5" ht="15" customHeight="1" x14ac:dyDescent="0.35">
      <c r="A180" s="19"/>
      <c r="B180" s="19"/>
      <c r="C180" s="19"/>
      <c r="D180" s="19"/>
      <c r="E180" s="20" t="str">
        <f t="shared" si="28"/>
        <v/>
      </c>
    </row>
    <row r="181" spans="1:5" ht="15" customHeight="1" x14ac:dyDescent="0.35">
      <c r="A181" s="19"/>
      <c r="B181" s="19"/>
      <c r="C181" s="19"/>
      <c r="D181" s="19"/>
      <c r="E181" s="20" t="str">
        <f t="shared" si="28"/>
        <v/>
      </c>
    </row>
    <row r="182" spans="1:5" ht="15" customHeight="1" x14ac:dyDescent="0.35">
      <c r="A182" s="19"/>
      <c r="B182" s="19"/>
      <c r="C182" s="19"/>
      <c r="D182" s="19"/>
      <c r="E182" s="20" t="str">
        <f t="shared" si="28"/>
        <v/>
      </c>
    </row>
    <row r="183" spans="1:5" ht="15" customHeight="1" x14ac:dyDescent="0.35">
      <c r="A183" s="19"/>
      <c r="B183" s="19"/>
      <c r="C183" s="19"/>
      <c r="D183" s="19"/>
      <c r="E183" s="20" t="str">
        <f t="shared" si="28"/>
        <v/>
      </c>
    </row>
    <row r="184" spans="1:5" ht="15" customHeight="1" x14ac:dyDescent="0.35">
      <c r="A184" s="19"/>
      <c r="B184" s="19"/>
      <c r="C184" s="19"/>
      <c r="D184" s="19"/>
      <c r="E184" s="20" t="str">
        <f t="shared" si="28"/>
        <v/>
      </c>
    </row>
    <row r="185" spans="1:5" ht="15" customHeight="1" x14ac:dyDescent="0.35">
      <c r="A185" s="19"/>
      <c r="B185" s="19"/>
      <c r="C185" s="19"/>
      <c r="D185" s="19"/>
      <c r="E185" s="20" t="str">
        <f t="shared" si="28"/>
        <v/>
      </c>
    </row>
    <row r="186" spans="1:5" ht="15" customHeight="1" x14ac:dyDescent="0.35">
      <c r="A186" s="19"/>
      <c r="B186" s="19"/>
      <c r="C186" s="19"/>
      <c r="D186" s="19"/>
      <c r="E186" s="20" t="str">
        <f t="shared" si="28"/>
        <v/>
      </c>
    </row>
    <row r="187" spans="1:5" ht="15" customHeight="1" x14ac:dyDescent="0.35">
      <c r="A187" s="19"/>
      <c r="B187" s="19"/>
      <c r="C187" s="19"/>
      <c r="D187" s="19"/>
      <c r="E187" s="20" t="str">
        <f t="shared" si="28"/>
        <v/>
      </c>
    </row>
    <row r="188" spans="1:5" ht="15" customHeight="1" x14ac:dyDescent="0.35">
      <c r="A188" s="19"/>
      <c r="B188" s="19"/>
      <c r="C188" s="19"/>
      <c r="D188" s="19"/>
      <c r="E188" s="20" t="str">
        <f t="shared" si="28"/>
        <v/>
      </c>
    </row>
    <row r="189" spans="1:5" ht="15" customHeight="1" x14ac:dyDescent="0.35">
      <c r="A189" s="19"/>
      <c r="B189" s="19"/>
      <c r="C189" s="19"/>
      <c r="D189" s="19"/>
      <c r="E189" s="20" t="str">
        <f t="shared" si="28"/>
        <v/>
      </c>
    </row>
    <row r="190" spans="1:5" ht="15" customHeight="1" x14ac:dyDescent="0.35">
      <c r="A190" s="19"/>
      <c r="B190" s="19"/>
      <c r="C190" s="19"/>
      <c r="D190" s="19"/>
      <c r="E190" s="20" t="str">
        <f t="shared" si="28"/>
        <v/>
      </c>
    </row>
    <row r="191" spans="1:5" ht="15" customHeight="1" x14ac:dyDescent="0.35">
      <c r="A191" s="19"/>
      <c r="B191" s="19"/>
      <c r="C191" s="19"/>
      <c r="D191" s="19"/>
      <c r="E191" s="20" t="str">
        <f t="shared" si="28"/>
        <v/>
      </c>
    </row>
    <row r="192" spans="1:5" ht="15" customHeight="1" x14ac:dyDescent="0.35">
      <c r="A192" s="19"/>
      <c r="B192" s="19"/>
      <c r="C192" s="19"/>
      <c r="D192" s="19"/>
      <c r="E192" s="20" t="str">
        <f t="shared" si="28"/>
        <v/>
      </c>
    </row>
    <row r="193" spans="1:5" ht="15" customHeight="1" x14ac:dyDescent="0.35">
      <c r="A193" s="19"/>
      <c r="B193" s="19"/>
      <c r="C193" s="19"/>
      <c r="D193" s="19"/>
      <c r="E193" s="20" t="str">
        <f t="shared" ref="E193:E256" si="29">IF(OR($A193="",$B193="",$C193="",$D193=""),"",IFERROR(INDEX(MASTERFLAT_PRICE,MATCH($A193&amp;"|"&amp;$B193&amp;"|"&amp;$C193&amp;"|"&amp;$D193,MASTERFLAT_KEY,0)),"Check Master List"))</f>
        <v/>
      </c>
    </row>
    <row r="194" spans="1:5" ht="15" customHeight="1" x14ac:dyDescent="0.35">
      <c r="A194" s="19"/>
      <c r="B194" s="19"/>
      <c r="C194" s="19"/>
      <c r="D194" s="19"/>
      <c r="E194" s="20" t="str">
        <f t="shared" si="29"/>
        <v/>
      </c>
    </row>
    <row r="195" spans="1:5" ht="15" customHeight="1" x14ac:dyDescent="0.35">
      <c r="A195" s="19"/>
      <c r="B195" s="19"/>
      <c r="C195" s="19"/>
      <c r="D195" s="19"/>
      <c r="E195" s="20" t="str">
        <f t="shared" si="29"/>
        <v/>
      </c>
    </row>
    <row r="196" spans="1:5" ht="15" customHeight="1" x14ac:dyDescent="0.35">
      <c r="A196" s="19"/>
      <c r="B196" s="19"/>
      <c r="C196" s="19"/>
      <c r="D196" s="19"/>
      <c r="E196" s="20" t="str">
        <f t="shared" si="29"/>
        <v/>
      </c>
    </row>
    <row r="197" spans="1:5" ht="15" customHeight="1" x14ac:dyDescent="0.35">
      <c r="A197" s="19"/>
      <c r="B197" s="19"/>
      <c r="C197" s="19"/>
      <c r="D197" s="19"/>
      <c r="E197" s="20" t="str">
        <f t="shared" si="29"/>
        <v/>
      </c>
    </row>
    <row r="198" spans="1:5" ht="15" customHeight="1" x14ac:dyDescent="0.35">
      <c r="A198" s="19"/>
      <c r="B198" s="19"/>
      <c r="C198" s="19"/>
      <c r="D198" s="19"/>
      <c r="E198" s="20" t="str">
        <f t="shared" si="29"/>
        <v/>
      </c>
    </row>
    <row r="199" spans="1:5" ht="15" customHeight="1" x14ac:dyDescent="0.35">
      <c r="A199" s="19"/>
      <c r="B199" s="19"/>
      <c r="C199" s="19"/>
      <c r="D199" s="19"/>
      <c r="E199" s="20" t="str">
        <f t="shared" si="29"/>
        <v/>
      </c>
    </row>
    <row r="200" spans="1:5" ht="15" customHeight="1" x14ac:dyDescent="0.35">
      <c r="A200" s="19"/>
      <c r="B200" s="19"/>
      <c r="C200" s="19"/>
      <c r="D200" s="19"/>
      <c r="E200" s="20" t="str">
        <f t="shared" si="29"/>
        <v/>
      </c>
    </row>
    <row r="201" spans="1:5" ht="15" customHeight="1" x14ac:dyDescent="0.35">
      <c r="A201" s="19"/>
      <c r="B201" s="19"/>
      <c r="C201" s="19"/>
      <c r="D201" s="19"/>
      <c r="E201" s="20" t="str">
        <f t="shared" si="29"/>
        <v/>
      </c>
    </row>
    <row r="202" spans="1:5" ht="15" customHeight="1" x14ac:dyDescent="0.35">
      <c r="A202" s="19"/>
      <c r="B202" s="19"/>
      <c r="C202" s="19"/>
      <c r="D202" s="19"/>
      <c r="E202" s="20" t="str">
        <f t="shared" si="29"/>
        <v/>
      </c>
    </row>
    <row r="203" spans="1:5" ht="15" customHeight="1" x14ac:dyDescent="0.35">
      <c r="A203" s="19"/>
      <c r="B203" s="19"/>
      <c r="C203" s="19"/>
      <c r="D203" s="19"/>
      <c r="E203" s="20" t="str">
        <f t="shared" si="29"/>
        <v/>
      </c>
    </row>
    <row r="204" spans="1:5" ht="15" customHeight="1" x14ac:dyDescent="0.35">
      <c r="A204" s="19"/>
      <c r="B204" s="19"/>
      <c r="C204" s="19"/>
      <c r="D204" s="19"/>
      <c r="E204" s="20" t="str">
        <f t="shared" si="29"/>
        <v/>
      </c>
    </row>
    <row r="205" spans="1:5" ht="15" customHeight="1" x14ac:dyDescent="0.35">
      <c r="A205" s="19"/>
      <c r="B205" s="19"/>
      <c r="C205" s="19"/>
      <c r="D205" s="19"/>
      <c r="E205" s="20" t="str">
        <f t="shared" si="29"/>
        <v/>
      </c>
    </row>
    <row r="206" spans="1:5" ht="15" customHeight="1" x14ac:dyDescent="0.35">
      <c r="A206" s="19"/>
      <c r="B206" s="19"/>
      <c r="C206" s="19"/>
      <c r="D206" s="19"/>
      <c r="E206" s="20" t="str">
        <f t="shared" si="29"/>
        <v/>
      </c>
    </row>
    <row r="207" spans="1:5" ht="15" customHeight="1" x14ac:dyDescent="0.35">
      <c r="A207" s="19"/>
      <c r="B207" s="19"/>
      <c r="C207" s="19"/>
      <c r="D207" s="19"/>
      <c r="E207" s="20" t="str">
        <f t="shared" si="29"/>
        <v/>
      </c>
    </row>
    <row r="208" spans="1:5" ht="15" customHeight="1" x14ac:dyDescent="0.35">
      <c r="A208" s="19"/>
      <c r="B208" s="19"/>
      <c r="C208" s="19"/>
      <c r="D208" s="19"/>
      <c r="E208" s="20" t="str">
        <f t="shared" si="29"/>
        <v/>
      </c>
    </row>
    <row r="209" spans="1:5" ht="15" customHeight="1" x14ac:dyDescent="0.35">
      <c r="A209" s="19"/>
      <c r="B209" s="19"/>
      <c r="C209" s="19"/>
      <c r="D209" s="19"/>
      <c r="E209" s="20" t="str">
        <f t="shared" si="29"/>
        <v/>
      </c>
    </row>
    <row r="210" spans="1:5" ht="15" customHeight="1" x14ac:dyDescent="0.35">
      <c r="A210" s="19"/>
      <c r="B210" s="19"/>
      <c r="C210" s="19"/>
      <c r="D210" s="19"/>
      <c r="E210" s="20" t="str">
        <f t="shared" si="29"/>
        <v/>
      </c>
    </row>
    <row r="211" spans="1:5" ht="15" customHeight="1" x14ac:dyDescent="0.35">
      <c r="A211" s="19"/>
      <c r="B211" s="19"/>
      <c r="C211" s="19"/>
      <c r="D211" s="19"/>
      <c r="E211" s="20" t="str">
        <f t="shared" si="29"/>
        <v/>
      </c>
    </row>
    <row r="212" spans="1:5" ht="15" customHeight="1" x14ac:dyDescent="0.35">
      <c r="A212" s="19"/>
      <c r="B212" s="19"/>
      <c r="C212" s="19"/>
      <c r="D212" s="19"/>
      <c r="E212" s="20" t="str">
        <f t="shared" si="29"/>
        <v/>
      </c>
    </row>
    <row r="213" spans="1:5" ht="15" customHeight="1" x14ac:dyDescent="0.35">
      <c r="A213" s="19"/>
      <c r="B213" s="19"/>
      <c r="C213" s="19"/>
      <c r="D213" s="19"/>
      <c r="E213" s="20" t="str">
        <f t="shared" si="29"/>
        <v/>
      </c>
    </row>
    <row r="214" spans="1:5" ht="15" customHeight="1" x14ac:dyDescent="0.35">
      <c r="A214" s="19"/>
      <c r="B214" s="19"/>
      <c r="C214" s="19"/>
      <c r="D214" s="19"/>
      <c r="E214" s="20" t="str">
        <f t="shared" si="29"/>
        <v/>
      </c>
    </row>
    <row r="215" spans="1:5" ht="15" customHeight="1" x14ac:dyDescent="0.35">
      <c r="A215" s="19"/>
      <c r="B215" s="19"/>
      <c r="C215" s="19"/>
      <c r="D215" s="19"/>
      <c r="E215" s="20" t="str">
        <f t="shared" si="29"/>
        <v/>
      </c>
    </row>
    <row r="216" spans="1:5" ht="15" customHeight="1" x14ac:dyDescent="0.35">
      <c r="A216" s="19"/>
      <c r="B216" s="19"/>
      <c r="C216" s="19"/>
      <c r="D216" s="19"/>
      <c r="E216" s="20" t="str">
        <f t="shared" si="29"/>
        <v/>
      </c>
    </row>
    <row r="217" spans="1:5" ht="15" customHeight="1" x14ac:dyDescent="0.35">
      <c r="A217" s="19"/>
      <c r="B217" s="19"/>
      <c r="C217" s="19"/>
      <c r="D217" s="19"/>
      <c r="E217" s="20" t="str">
        <f t="shared" si="29"/>
        <v/>
      </c>
    </row>
    <row r="218" spans="1:5" ht="15" customHeight="1" x14ac:dyDescent="0.35">
      <c r="A218" s="19"/>
      <c r="B218" s="19"/>
      <c r="C218" s="19"/>
      <c r="D218" s="19"/>
      <c r="E218" s="20" t="str">
        <f t="shared" si="29"/>
        <v/>
      </c>
    </row>
    <row r="219" spans="1:5" ht="15" customHeight="1" x14ac:dyDescent="0.35">
      <c r="A219" s="19"/>
      <c r="B219" s="19"/>
      <c r="C219" s="19"/>
      <c r="D219" s="19"/>
      <c r="E219" s="20" t="str">
        <f t="shared" si="29"/>
        <v/>
      </c>
    </row>
    <row r="220" spans="1:5" ht="15" customHeight="1" x14ac:dyDescent="0.35">
      <c r="A220" s="19"/>
      <c r="B220" s="19"/>
      <c r="C220" s="19"/>
      <c r="D220" s="19"/>
      <c r="E220" s="20" t="str">
        <f t="shared" si="29"/>
        <v/>
      </c>
    </row>
    <row r="221" spans="1:5" ht="15" customHeight="1" x14ac:dyDescent="0.35">
      <c r="A221" s="19"/>
      <c r="B221" s="19"/>
      <c r="C221" s="19"/>
      <c r="D221" s="19"/>
      <c r="E221" s="20" t="str">
        <f t="shared" si="29"/>
        <v/>
      </c>
    </row>
    <row r="222" spans="1:5" ht="15" customHeight="1" x14ac:dyDescent="0.35">
      <c r="A222" s="19"/>
      <c r="B222" s="19"/>
      <c r="C222" s="19"/>
      <c r="D222" s="19"/>
      <c r="E222" s="20" t="str">
        <f t="shared" si="29"/>
        <v/>
      </c>
    </row>
    <row r="223" spans="1:5" ht="15" customHeight="1" x14ac:dyDescent="0.35">
      <c r="A223" s="19"/>
      <c r="B223" s="19"/>
      <c r="C223" s="19"/>
      <c r="D223" s="19"/>
      <c r="E223" s="20" t="str">
        <f t="shared" si="29"/>
        <v/>
      </c>
    </row>
    <row r="224" spans="1:5" ht="15" customHeight="1" x14ac:dyDescent="0.35">
      <c r="A224" s="19"/>
      <c r="B224" s="19"/>
      <c r="C224" s="19"/>
      <c r="D224" s="19"/>
      <c r="E224" s="20" t="str">
        <f t="shared" si="29"/>
        <v/>
      </c>
    </row>
    <row r="225" spans="1:5" ht="15" customHeight="1" x14ac:dyDescent="0.35">
      <c r="A225" s="19"/>
      <c r="B225" s="19"/>
      <c r="C225" s="19"/>
      <c r="D225" s="19"/>
      <c r="E225" s="20" t="str">
        <f t="shared" si="29"/>
        <v/>
      </c>
    </row>
    <row r="226" spans="1:5" ht="15" customHeight="1" x14ac:dyDescent="0.35">
      <c r="A226" s="19"/>
      <c r="B226" s="19"/>
      <c r="C226" s="19"/>
      <c r="D226" s="19"/>
      <c r="E226" s="20" t="str">
        <f t="shared" si="29"/>
        <v/>
      </c>
    </row>
    <row r="227" spans="1:5" ht="15" customHeight="1" x14ac:dyDescent="0.35">
      <c r="A227" s="19"/>
      <c r="B227" s="19"/>
      <c r="C227" s="19"/>
      <c r="D227" s="19"/>
      <c r="E227" s="20" t="str">
        <f t="shared" si="29"/>
        <v/>
      </c>
    </row>
    <row r="228" spans="1:5" ht="15" customHeight="1" x14ac:dyDescent="0.35">
      <c r="A228" s="19"/>
      <c r="B228" s="19"/>
      <c r="C228" s="19"/>
      <c r="D228" s="19"/>
      <c r="E228" s="20" t="str">
        <f t="shared" si="29"/>
        <v/>
      </c>
    </row>
    <row r="229" spans="1:5" ht="15" customHeight="1" x14ac:dyDescent="0.35">
      <c r="A229" s="19"/>
      <c r="B229" s="19"/>
      <c r="C229" s="19"/>
      <c r="D229" s="19"/>
      <c r="E229" s="20" t="str">
        <f t="shared" si="29"/>
        <v/>
      </c>
    </row>
    <row r="230" spans="1:5" ht="15" customHeight="1" x14ac:dyDescent="0.35">
      <c r="A230" s="19"/>
      <c r="B230" s="19"/>
      <c r="C230" s="19"/>
      <c r="D230" s="19"/>
      <c r="E230" s="20" t="str">
        <f t="shared" si="29"/>
        <v/>
      </c>
    </row>
    <row r="231" spans="1:5" ht="15" customHeight="1" x14ac:dyDescent="0.35">
      <c r="A231" s="19"/>
      <c r="B231" s="19"/>
      <c r="C231" s="19"/>
      <c r="D231" s="19"/>
      <c r="E231" s="20" t="str">
        <f t="shared" si="29"/>
        <v/>
      </c>
    </row>
    <row r="232" spans="1:5" ht="15" customHeight="1" x14ac:dyDescent="0.35">
      <c r="A232" s="19"/>
      <c r="B232" s="19"/>
      <c r="C232" s="19"/>
      <c r="D232" s="19"/>
      <c r="E232" s="20" t="str">
        <f t="shared" si="29"/>
        <v/>
      </c>
    </row>
    <row r="233" spans="1:5" ht="15" customHeight="1" x14ac:dyDescent="0.35">
      <c r="A233" s="19"/>
      <c r="B233" s="19"/>
      <c r="C233" s="19"/>
      <c r="D233" s="19"/>
      <c r="E233" s="20" t="str">
        <f t="shared" si="29"/>
        <v/>
      </c>
    </row>
    <row r="234" spans="1:5" ht="15" customHeight="1" x14ac:dyDescent="0.35">
      <c r="A234" s="19"/>
      <c r="B234" s="19"/>
      <c r="C234" s="19"/>
      <c r="D234" s="19"/>
      <c r="E234" s="20" t="str">
        <f t="shared" si="29"/>
        <v/>
      </c>
    </row>
    <row r="235" spans="1:5" ht="15" customHeight="1" x14ac:dyDescent="0.35">
      <c r="A235" s="19"/>
      <c r="B235" s="19"/>
      <c r="C235" s="19"/>
      <c r="D235" s="19"/>
      <c r="E235" s="20" t="str">
        <f t="shared" si="29"/>
        <v/>
      </c>
    </row>
    <row r="236" spans="1:5" ht="15" customHeight="1" x14ac:dyDescent="0.35">
      <c r="A236" s="19"/>
      <c r="B236" s="19"/>
      <c r="C236" s="19"/>
      <c r="D236" s="19"/>
      <c r="E236" s="20" t="str">
        <f t="shared" si="29"/>
        <v/>
      </c>
    </row>
    <row r="237" spans="1:5" ht="15" customHeight="1" x14ac:dyDescent="0.35">
      <c r="A237" s="19"/>
      <c r="B237" s="19"/>
      <c r="C237" s="19"/>
      <c r="D237" s="19"/>
      <c r="E237" s="20" t="str">
        <f t="shared" si="29"/>
        <v/>
      </c>
    </row>
    <row r="238" spans="1:5" ht="15" customHeight="1" x14ac:dyDescent="0.35">
      <c r="A238" s="19"/>
      <c r="B238" s="19"/>
      <c r="C238" s="19"/>
      <c r="D238" s="19"/>
      <c r="E238" s="20" t="str">
        <f t="shared" si="29"/>
        <v/>
      </c>
    </row>
    <row r="239" spans="1:5" ht="15" customHeight="1" x14ac:dyDescent="0.35">
      <c r="A239" s="19"/>
      <c r="B239" s="19"/>
      <c r="C239" s="19"/>
      <c r="D239" s="19"/>
      <c r="E239" s="20" t="str">
        <f t="shared" si="29"/>
        <v/>
      </c>
    </row>
    <row r="240" spans="1:5" ht="15" customHeight="1" x14ac:dyDescent="0.35">
      <c r="A240" s="19"/>
      <c r="B240" s="19"/>
      <c r="C240" s="19"/>
      <c r="D240" s="19"/>
      <c r="E240" s="20" t="str">
        <f t="shared" si="29"/>
        <v/>
      </c>
    </row>
    <row r="241" spans="1:5" ht="15" customHeight="1" x14ac:dyDescent="0.35">
      <c r="A241" s="19"/>
      <c r="B241" s="19"/>
      <c r="C241" s="19"/>
      <c r="D241" s="19"/>
      <c r="E241" s="20" t="str">
        <f t="shared" si="29"/>
        <v/>
      </c>
    </row>
    <row r="242" spans="1:5" ht="15" customHeight="1" x14ac:dyDescent="0.35">
      <c r="A242" s="19"/>
      <c r="B242" s="19"/>
      <c r="C242" s="19"/>
      <c r="D242" s="19"/>
      <c r="E242" s="20" t="str">
        <f t="shared" si="29"/>
        <v/>
      </c>
    </row>
    <row r="243" spans="1:5" ht="15" customHeight="1" x14ac:dyDescent="0.35">
      <c r="A243" s="19"/>
      <c r="B243" s="19"/>
      <c r="C243" s="19"/>
      <c r="D243" s="19"/>
      <c r="E243" s="20" t="str">
        <f t="shared" si="29"/>
        <v/>
      </c>
    </row>
    <row r="244" spans="1:5" ht="15" customHeight="1" x14ac:dyDescent="0.35">
      <c r="A244" s="19"/>
      <c r="B244" s="19"/>
      <c r="C244" s="19"/>
      <c r="D244" s="19"/>
      <c r="E244" s="20" t="str">
        <f t="shared" si="29"/>
        <v/>
      </c>
    </row>
    <row r="245" spans="1:5" ht="15" customHeight="1" x14ac:dyDescent="0.35">
      <c r="A245" s="19"/>
      <c r="B245" s="19"/>
      <c r="C245" s="19"/>
      <c r="D245" s="19"/>
      <c r="E245" s="20" t="str">
        <f t="shared" si="29"/>
        <v/>
      </c>
    </row>
    <row r="246" spans="1:5" ht="15" customHeight="1" x14ac:dyDescent="0.35">
      <c r="A246" s="19"/>
      <c r="B246" s="19"/>
      <c r="C246" s="19"/>
      <c r="D246" s="19"/>
      <c r="E246" s="20" t="str">
        <f t="shared" si="29"/>
        <v/>
      </c>
    </row>
    <row r="247" spans="1:5" ht="15" customHeight="1" x14ac:dyDescent="0.35">
      <c r="A247" s="19"/>
      <c r="B247" s="19"/>
      <c r="C247" s="19"/>
      <c r="D247" s="19"/>
      <c r="E247" s="20" t="str">
        <f t="shared" si="29"/>
        <v/>
      </c>
    </row>
    <row r="248" spans="1:5" ht="15" customHeight="1" x14ac:dyDescent="0.35">
      <c r="A248" s="19"/>
      <c r="B248" s="19"/>
      <c r="C248" s="19"/>
      <c r="D248" s="19"/>
      <c r="E248" s="20" t="str">
        <f t="shared" si="29"/>
        <v/>
      </c>
    </row>
    <row r="249" spans="1:5" ht="15" customHeight="1" x14ac:dyDescent="0.35">
      <c r="A249" s="19"/>
      <c r="B249" s="19"/>
      <c r="C249" s="19"/>
      <c r="D249" s="19"/>
      <c r="E249" s="20" t="str">
        <f t="shared" si="29"/>
        <v/>
      </c>
    </row>
    <row r="250" spans="1:5" ht="15" customHeight="1" x14ac:dyDescent="0.35">
      <c r="A250" s="19"/>
      <c r="B250" s="19"/>
      <c r="C250" s="19"/>
      <c r="D250" s="19"/>
      <c r="E250" s="20" t="str">
        <f t="shared" si="29"/>
        <v/>
      </c>
    </row>
    <row r="251" spans="1:5" ht="15" customHeight="1" x14ac:dyDescent="0.35">
      <c r="A251" s="19"/>
      <c r="B251" s="19"/>
      <c r="C251" s="19"/>
      <c r="D251" s="19"/>
      <c r="E251" s="20" t="str">
        <f t="shared" si="29"/>
        <v/>
      </c>
    </row>
    <row r="252" spans="1:5" ht="15" customHeight="1" x14ac:dyDescent="0.35">
      <c r="A252" s="19"/>
      <c r="B252" s="19"/>
      <c r="C252" s="19"/>
      <c r="D252" s="19"/>
      <c r="E252" s="20" t="str">
        <f t="shared" si="29"/>
        <v/>
      </c>
    </row>
    <row r="253" spans="1:5" ht="15" customHeight="1" x14ac:dyDescent="0.35">
      <c r="A253" s="19"/>
      <c r="B253" s="19"/>
      <c r="C253" s="19"/>
      <c r="D253" s="19"/>
      <c r="E253" s="20" t="str">
        <f t="shared" si="29"/>
        <v/>
      </c>
    </row>
    <row r="254" spans="1:5" ht="15" customHeight="1" x14ac:dyDescent="0.35">
      <c r="A254" s="19"/>
      <c r="B254" s="19"/>
      <c r="C254" s="19"/>
      <c r="D254" s="19"/>
      <c r="E254" s="20" t="str">
        <f t="shared" si="29"/>
        <v/>
      </c>
    </row>
    <row r="255" spans="1:5" ht="15" customHeight="1" x14ac:dyDescent="0.35">
      <c r="A255" s="19"/>
      <c r="B255" s="19"/>
      <c r="C255" s="19"/>
      <c r="D255" s="19"/>
      <c r="E255" s="20" t="str">
        <f t="shared" si="29"/>
        <v/>
      </c>
    </row>
    <row r="256" spans="1:5" ht="15" customHeight="1" x14ac:dyDescent="0.35">
      <c r="A256" s="19"/>
      <c r="B256" s="19"/>
      <c r="C256" s="19"/>
      <c r="D256" s="19"/>
      <c r="E256" s="20" t="str">
        <f t="shared" si="29"/>
        <v/>
      </c>
    </row>
    <row r="257" spans="1:5" ht="15" customHeight="1" x14ac:dyDescent="0.35">
      <c r="A257" s="19"/>
      <c r="B257" s="19"/>
      <c r="C257" s="19"/>
      <c r="D257" s="19"/>
      <c r="E257" s="20" t="str">
        <f t="shared" ref="E257:E300" si="30">IF(OR($A257="",$B257="",$C257="",$D257=""),"",IFERROR(INDEX(MASTERFLAT_PRICE,MATCH($A257&amp;"|"&amp;$B257&amp;"|"&amp;$C257&amp;"|"&amp;$D257,MASTERFLAT_KEY,0)),"Check Master List"))</f>
        <v/>
      </c>
    </row>
    <row r="258" spans="1:5" ht="15" customHeight="1" x14ac:dyDescent="0.35">
      <c r="A258" s="19"/>
      <c r="B258" s="19"/>
      <c r="C258" s="19"/>
      <c r="D258" s="19"/>
      <c r="E258" s="20" t="str">
        <f t="shared" si="30"/>
        <v/>
      </c>
    </row>
    <row r="259" spans="1:5" ht="15" customHeight="1" x14ac:dyDescent="0.35">
      <c r="A259" s="19"/>
      <c r="B259" s="19"/>
      <c r="C259" s="19"/>
      <c r="D259" s="19"/>
      <c r="E259" s="20" t="str">
        <f t="shared" si="30"/>
        <v/>
      </c>
    </row>
    <row r="260" spans="1:5" ht="15" customHeight="1" x14ac:dyDescent="0.35">
      <c r="A260" s="19"/>
      <c r="B260" s="19"/>
      <c r="C260" s="19"/>
      <c r="D260" s="19"/>
      <c r="E260" s="20" t="str">
        <f t="shared" si="30"/>
        <v/>
      </c>
    </row>
    <row r="261" spans="1:5" ht="15" customHeight="1" x14ac:dyDescent="0.35">
      <c r="A261" s="19"/>
      <c r="B261" s="19"/>
      <c r="C261" s="19"/>
      <c r="D261" s="19"/>
      <c r="E261" s="20" t="str">
        <f t="shared" si="30"/>
        <v/>
      </c>
    </row>
    <row r="262" spans="1:5" ht="15" customHeight="1" x14ac:dyDescent="0.35">
      <c r="A262" s="19"/>
      <c r="B262" s="19"/>
      <c r="C262" s="19"/>
      <c r="D262" s="19"/>
      <c r="E262" s="20" t="str">
        <f t="shared" si="30"/>
        <v/>
      </c>
    </row>
    <row r="263" spans="1:5" ht="15" customHeight="1" x14ac:dyDescent="0.35">
      <c r="A263" s="19"/>
      <c r="B263" s="19"/>
      <c r="C263" s="19"/>
      <c r="D263" s="19"/>
      <c r="E263" s="20" t="str">
        <f t="shared" si="30"/>
        <v/>
      </c>
    </row>
    <row r="264" spans="1:5" ht="15" customHeight="1" x14ac:dyDescent="0.35">
      <c r="A264" s="19"/>
      <c r="B264" s="19"/>
      <c r="C264" s="19"/>
      <c r="D264" s="19"/>
      <c r="E264" s="20" t="str">
        <f t="shared" si="30"/>
        <v/>
      </c>
    </row>
    <row r="265" spans="1:5" ht="15" customHeight="1" x14ac:dyDescent="0.35">
      <c r="A265" s="19"/>
      <c r="B265" s="19"/>
      <c r="C265" s="19"/>
      <c r="D265" s="19"/>
      <c r="E265" s="20" t="str">
        <f t="shared" si="30"/>
        <v/>
      </c>
    </row>
    <row r="266" spans="1:5" ht="15" customHeight="1" x14ac:dyDescent="0.35">
      <c r="A266" s="19"/>
      <c r="B266" s="19"/>
      <c r="C266" s="19"/>
      <c r="D266" s="19"/>
      <c r="E266" s="20" t="str">
        <f t="shared" si="30"/>
        <v/>
      </c>
    </row>
    <row r="267" spans="1:5" ht="15" customHeight="1" x14ac:dyDescent="0.35">
      <c r="A267" s="19"/>
      <c r="B267" s="19"/>
      <c r="C267" s="19"/>
      <c r="D267" s="19"/>
      <c r="E267" s="20" t="str">
        <f t="shared" si="30"/>
        <v/>
      </c>
    </row>
    <row r="268" spans="1:5" ht="15" customHeight="1" x14ac:dyDescent="0.35">
      <c r="A268" s="19"/>
      <c r="B268" s="19"/>
      <c r="C268" s="19"/>
      <c r="D268" s="19"/>
      <c r="E268" s="20" t="str">
        <f t="shared" si="30"/>
        <v/>
      </c>
    </row>
    <row r="269" spans="1:5" ht="15" customHeight="1" x14ac:dyDescent="0.35">
      <c r="A269" s="19"/>
      <c r="B269" s="19"/>
      <c r="C269" s="19"/>
      <c r="D269" s="19"/>
      <c r="E269" s="20" t="str">
        <f t="shared" si="30"/>
        <v/>
      </c>
    </row>
    <row r="270" spans="1:5" ht="15" customHeight="1" x14ac:dyDescent="0.35">
      <c r="A270" s="19"/>
      <c r="B270" s="19"/>
      <c r="C270" s="19"/>
      <c r="D270" s="19"/>
      <c r="E270" s="20" t="str">
        <f t="shared" si="30"/>
        <v/>
      </c>
    </row>
    <row r="271" spans="1:5" ht="15" customHeight="1" x14ac:dyDescent="0.35">
      <c r="A271" s="19"/>
      <c r="B271" s="19"/>
      <c r="C271" s="19"/>
      <c r="D271" s="19"/>
      <c r="E271" s="20" t="str">
        <f t="shared" si="30"/>
        <v/>
      </c>
    </row>
    <row r="272" spans="1:5" ht="15" customHeight="1" x14ac:dyDescent="0.35">
      <c r="A272" s="19"/>
      <c r="B272" s="19"/>
      <c r="C272" s="19"/>
      <c r="D272" s="19"/>
      <c r="E272" s="20" t="str">
        <f t="shared" si="30"/>
        <v/>
      </c>
    </row>
    <row r="273" spans="1:5" ht="15" customHeight="1" x14ac:dyDescent="0.35">
      <c r="A273" s="19"/>
      <c r="B273" s="19"/>
      <c r="C273" s="19"/>
      <c r="D273" s="19"/>
      <c r="E273" s="20" t="str">
        <f t="shared" si="30"/>
        <v/>
      </c>
    </row>
    <row r="274" spans="1:5" ht="15" customHeight="1" x14ac:dyDescent="0.35">
      <c r="A274" s="19"/>
      <c r="B274" s="19"/>
      <c r="C274" s="19"/>
      <c r="D274" s="19"/>
      <c r="E274" s="20" t="str">
        <f t="shared" si="30"/>
        <v/>
      </c>
    </row>
    <row r="275" spans="1:5" ht="15" customHeight="1" x14ac:dyDescent="0.35">
      <c r="A275" s="19"/>
      <c r="B275" s="19"/>
      <c r="C275" s="19"/>
      <c r="D275" s="19"/>
      <c r="E275" s="20" t="str">
        <f t="shared" si="30"/>
        <v/>
      </c>
    </row>
    <row r="276" spans="1:5" ht="15" customHeight="1" x14ac:dyDescent="0.35">
      <c r="A276" s="19"/>
      <c r="B276" s="19"/>
      <c r="C276" s="19"/>
      <c r="D276" s="19"/>
      <c r="E276" s="20" t="str">
        <f t="shared" si="30"/>
        <v/>
      </c>
    </row>
    <row r="277" spans="1:5" ht="15" customHeight="1" x14ac:dyDescent="0.35">
      <c r="A277" s="19"/>
      <c r="B277" s="19"/>
      <c r="C277" s="19"/>
      <c r="D277" s="19"/>
      <c r="E277" s="20" t="str">
        <f t="shared" si="30"/>
        <v/>
      </c>
    </row>
    <row r="278" spans="1:5" ht="15" customHeight="1" x14ac:dyDescent="0.35">
      <c r="A278" s="19"/>
      <c r="B278" s="19"/>
      <c r="C278" s="19"/>
      <c r="D278" s="19"/>
      <c r="E278" s="20" t="str">
        <f t="shared" si="30"/>
        <v/>
      </c>
    </row>
    <row r="279" spans="1:5" ht="15" customHeight="1" x14ac:dyDescent="0.35">
      <c r="A279" s="19"/>
      <c r="B279" s="19"/>
      <c r="C279" s="19"/>
      <c r="D279" s="19"/>
      <c r="E279" s="20" t="str">
        <f t="shared" si="30"/>
        <v/>
      </c>
    </row>
    <row r="280" spans="1:5" ht="15" customHeight="1" x14ac:dyDescent="0.35">
      <c r="A280" s="19"/>
      <c r="B280" s="19"/>
      <c r="C280" s="19"/>
      <c r="D280" s="19"/>
      <c r="E280" s="20" t="str">
        <f t="shared" si="30"/>
        <v/>
      </c>
    </row>
    <row r="281" spans="1:5" ht="15" customHeight="1" x14ac:dyDescent="0.35">
      <c r="A281" s="19"/>
      <c r="B281" s="19"/>
      <c r="C281" s="19"/>
      <c r="D281" s="19"/>
      <c r="E281" s="20" t="str">
        <f t="shared" si="30"/>
        <v/>
      </c>
    </row>
    <row r="282" spans="1:5" ht="15" customHeight="1" x14ac:dyDescent="0.35">
      <c r="A282" s="19"/>
      <c r="B282" s="19"/>
      <c r="C282" s="19"/>
      <c r="D282" s="19"/>
      <c r="E282" s="20" t="str">
        <f t="shared" si="30"/>
        <v/>
      </c>
    </row>
    <row r="283" spans="1:5" ht="15" customHeight="1" x14ac:dyDescent="0.35">
      <c r="A283" s="19"/>
      <c r="B283" s="19"/>
      <c r="C283" s="19"/>
      <c r="D283" s="19"/>
      <c r="E283" s="20" t="str">
        <f t="shared" si="30"/>
        <v/>
      </c>
    </row>
    <row r="284" spans="1:5" ht="15" customHeight="1" x14ac:dyDescent="0.35">
      <c r="A284" s="19"/>
      <c r="B284" s="19"/>
      <c r="C284" s="19"/>
      <c r="D284" s="19"/>
      <c r="E284" s="20" t="str">
        <f t="shared" si="30"/>
        <v/>
      </c>
    </row>
    <row r="285" spans="1:5" ht="15" customHeight="1" x14ac:dyDescent="0.35">
      <c r="A285" s="19"/>
      <c r="B285" s="19"/>
      <c r="C285" s="19"/>
      <c r="D285" s="19"/>
      <c r="E285" s="20" t="str">
        <f t="shared" si="30"/>
        <v/>
      </c>
    </row>
    <row r="286" spans="1:5" ht="15" customHeight="1" x14ac:dyDescent="0.35">
      <c r="A286" s="19"/>
      <c r="B286" s="19"/>
      <c r="C286" s="19"/>
      <c r="D286" s="19"/>
      <c r="E286" s="20" t="str">
        <f t="shared" si="30"/>
        <v/>
      </c>
    </row>
    <row r="287" spans="1:5" ht="15" customHeight="1" x14ac:dyDescent="0.35">
      <c r="A287" s="19"/>
      <c r="B287" s="19"/>
      <c r="C287" s="19"/>
      <c r="D287" s="19"/>
      <c r="E287" s="20" t="str">
        <f t="shared" si="30"/>
        <v/>
      </c>
    </row>
    <row r="288" spans="1:5" ht="15" customHeight="1" x14ac:dyDescent="0.35">
      <c r="A288" s="19"/>
      <c r="B288" s="19"/>
      <c r="C288" s="19"/>
      <c r="D288" s="19"/>
      <c r="E288" s="20" t="str">
        <f t="shared" si="30"/>
        <v/>
      </c>
    </row>
    <row r="289" spans="1:5" ht="15" customHeight="1" x14ac:dyDescent="0.35">
      <c r="A289" s="19"/>
      <c r="B289" s="19"/>
      <c r="C289" s="19"/>
      <c r="D289" s="19"/>
      <c r="E289" s="20" t="str">
        <f t="shared" si="30"/>
        <v/>
      </c>
    </row>
    <row r="290" spans="1:5" ht="15" customHeight="1" x14ac:dyDescent="0.35">
      <c r="A290" s="19"/>
      <c r="B290" s="19"/>
      <c r="C290" s="19"/>
      <c r="D290" s="19"/>
      <c r="E290" s="20" t="str">
        <f t="shared" si="30"/>
        <v/>
      </c>
    </row>
    <row r="291" spans="1:5" ht="15" customHeight="1" x14ac:dyDescent="0.35">
      <c r="A291" s="19"/>
      <c r="B291" s="19"/>
      <c r="C291" s="19"/>
      <c r="D291" s="19"/>
      <c r="E291" s="20" t="str">
        <f t="shared" si="30"/>
        <v/>
      </c>
    </row>
    <row r="292" spans="1:5" ht="15" customHeight="1" x14ac:dyDescent="0.35">
      <c r="A292" s="19"/>
      <c r="B292" s="19"/>
      <c r="C292" s="19"/>
      <c r="D292" s="19"/>
      <c r="E292" s="20" t="str">
        <f t="shared" si="30"/>
        <v/>
      </c>
    </row>
    <row r="293" spans="1:5" ht="15" customHeight="1" x14ac:dyDescent="0.35">
      <c r="A293" s="19"/>
      <c r="B293" s="19"/>
      <c r="C293" s="19"/>
      <c r="D293" s="19"/>
      <c r="E293" s="20" t="str">
        <f t="shared" si="30"/>
        <v/>
      </c>
    </row>
    <row r="294" spans="1:5" ht="15" customHeight="1" x14ac:dyDescent="0.35">
      <c r="A294" s="19"/>
      <c r="B294" s="19"/>
      <c r="C294" s="19"/>
      <c r="D294" s="19"/>
      <c r="E294" s="20" t="str">
        <f t="shared" si="30"/>
        <v/>
      </c>
    </row>
    <row r="295" spans="1:5" ht="15" customHeight="1" x14ac:dyDescent="0.35">
      <c r="A295" s="19"/>
      <c r="B295" s="19"/>
      <c r="C295" s="19"/>
      <c r="D295" s="19"/>
      <c r="E295" s="20" t="str">
        <f t="shared" si="30"/>
        <v/>
      </c>
    </row>
    <row r="296" spans="1:5" ht="15" customHeight="1" x14ac:dyDescent="0.35">
      <c r="A296" s="19"/>
      <c r="B296" s="19"/>
      <c r="C296" s="19"/>
      <c r="D296" s="19"/>
      <c r="E296" s="20" t="str">
        <f t="shared" si="30"/>
        <v/>
      </c>
    </row>
    <row r="297" spans="1:5" ht="15" customHeight="1" x14ac:dyDescent="0.35">
      <c r="A297" s="19"/>
      <c r="B297" s="19"/>
      <c r="C297" s="19"/>
      <c r="D297" s="19"/>
      <c r="E297" s="20" t="str">
        <f t="shared" si="30"/>
        <v/>
      </c>
    </row>
    <row r="298" spans="1:5" ht="15" customHeight="1" x14ac:dyDescent="0.35">
      <c r="A298" s="19"/>
      <c r="B298" s="19"/>
      <c r="C298" s="19"/>
      <c r="D298" s="19"/>
      <c r="E298" s="20" t="str">
        <f t="shared" si="30"/>
        <v/>
      </c>
    </row>
    <row r="299" spans="1:5" ht="15" customHeight="1" x14ac:dyDescent="0.35">
      <c r="A299" s="19"/>
      <c r="B299" s="19"/>
      <c r="C299" s="19"/>
      <c r="D299" s="19"/>
      <c r="E299" s="20" t="str">
        <f t="shared" si="30"/>
        <v/>
      </c>
    </row>
    <row r="300" spans="1:5" ht="15" customHeight="1" x14ac:dyDescent="0.35">
      <c r="A300" s="19"/>
      <c r="B300" s="19"/>
      <c r="C300" s="19"/>
      <c r="D300" s="19"/>
      <c r="E300" s="20" t="str">
        <f t="shared" si="30"/>
        <v/>
      </c>
    </row>
  </sheetData>
  <mergeCells count="54">
    <mergeCell ref="I82:P82"/>
    <mergeCell ref="I83:P83"/>
    <mergeCell ref="I84:P84"/>
    <mergeCell ref="I85:P85"/>
    <mergeCell ref="I76:P76"/>
    <mergeCell ref="I77:P77"/>
    <mergeCell ref="I78:P78"/>
    <mergeCell ref="I79:P79"/>
    <mergeCell ref="I80:P80"/>
    <mergeCell ref="I81:P81"/>
    <mergeCell ref="I75:P75"/>
    <mergeCell ref="H55:O55"/>
    <mergeCell ref="I58:I59"/>
    <mergeCell ref="H63:O63"/>
    <mergeCell ref="H64:O64"/>
    <mergeCell ref="H67:O67"/>
    <mergeCell ref="H68:O68"/>
    <mergeCell ref="H69:O69"/>
    <mergeCell ref="H70:O70"/>
    <mergeCell ref="H71:O71"/>
    <mergeCell ref="I73:P73"/>
    <mergeCell ref="I74:P74"/>
    <mergeCell ref="H54:O54"/>
    <mergeCell ref="H22:O22"/>
    <mergeCell ref="H23:O23"/>
    <mergeCell ref="H27:O27"/>
    <mergeCell ref="H28:O28"/>
    <mergeCell ref="I31:I32"/>
    <mergeCell ref="H34:O34"/>
    <mergeCell ref="H35:O35"/>
    <mergeCell ref="H42:O42"/>
    <mergeCell ref="H43:O43"/>
    <mergeCell ref="H47:O47"/>
    <mergeCell ref="H48:O48"/>
    <mergeCell ref="O11:O12"/>
    <mergeCell ref="P11:P12"/>
    <mergeCell ref="H13:O13"/>
    <mergeCell ref="H16:O16"/>
    <mergeCell ref="H17:O17"/>
    <mergeCell ref="M11:M12"/>
    <mergeCell ref="N11:N12"/>
    <mergeCell ref="I18:I20"/>
    <mergeCell ref="K18:L18"/>
    <mergeCell ref="H11:H12"/>
    <mergeCell ref="I11:I12"/>
    <mergeCell ref="J11:J12"/>
    <mergeCell ref="K11:L11"/>
    <mergeCell ref="H2:P7"/>
    <mergeCell ref="H8:J8"/>
    <mergeCell ref="K8:N8"/>
    <mergeCell ref="H9:J10"/>
    <mergeCell ref="K9:N10"/>
    <mergeCell ref="O9:O10"/>
    <mergeCell ref="P9:P10"/>
  </mergeCells>
  <dataValidations count="4">
    <dataValidation type="list" allowBlank="1" showErrorMessage="1" errorTitle="Invalid Item" error="Please choose an Item from the list." sqref="A2:A300">
      <formula1>ITEMS_LIST</formula1>
      <formula2>0</formula2>
    </dataValidation>
    <dataValidation type="list" allowBlank="1" showErrorMessage="1" errorTitle="Invalid Carcass" error="Please pick an Item first, then choose a Carcass from the list." sqref="B2:B300">
      <formula1>INDIRECT("CAR_"&amp;MATCH($A2,ITEMS_LIST,0))</formula1>
      <formula2>0</formula2>
    </dataValidation>
    <dataValidation type="list" allowBlank="1" showErrorMessage="1" errorTitle="Invalid Shutter" error="Please pick Item &amp; Carcass first, then choose a Shutter from the list." sqref="C2:C300">
      <formula1>INDIRECT("SHU_"&amp;MATCH($A2&amp;"|"&amp;$B2,PAIRLIST,0))</formula1>
      <formula2>0</formula2>
    </dataValidation>
    <dataValidation type="list" allowBlank="1" showErrorMessage="1" errorTitle="Invalid Finish" error="Please pick Item, Carcass &amp; Shutter first, then choose a Finish from the list." sqref="D2:D300">
      <formula1>INDIRECT("FIN_"&amp;MATCH($A2&amp;"|"&amp;$B2&amp;"|"&amp;$C2,TRIPLIST,0))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N305"/>
  <sheetViews>
    <sheetView tabSelected="1" topLeftCell="A19" zoomScale="94" zoomScaleNormal="94" workbookViewId="0">
      <selection activeCell="L40" sqref="L40"/>
    </sheetView>
  </sheetViews>
  <sheetFormatPr defaultColWidth="14.453125" defaultRowHeight="14.5" x14ac:dyDescent="0.35"/>
  <cols>
    <col min="1" max="1" width="6.08984375" bestFit="1" customWidth="1"/>
    <col min="2" max="2" width="14.08984375" bestFit="1" customWidth="1"/>
    <col min="3" max="3" width="11.6328125" style="2" customWidth="1"/>
    <col min="4" max="4" width="26.81640625" style="2" bestFit="1" customWidth="1"/>
    <col min="5" max="5" width="15.36328125" style="2" bestFit="1" customWidth="1"/>
    <col min="6" max="6" width="21" style="2" bestFit="1" customWidth="1"/>
    <col min="7" max="7" width="14.08984375" bestFit="1" customWidth="1"/>
    <col min="8" max="8" width="10.26953125" style="2" customWidth="1"/>
    <col min="12" max="12" width="6.6328125" style="2" bestFit="1" customWidth="1"/>
  </cols>
  <sheetData>
    <row r="1" spans="1:13" ht="116" customHeight="1" x14ac:dyDescent="0.35">
      <c r="A1" s="105" t="s">
        <v>563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13" ht="15" customHeight="1" x14ac:dyDescent="0.35">
      <c r="A2" s="109" t="s">
        <v>630</v>
      </c>
      <c r="B2" s="109" t="s">
        <v>0</v>
      </c>
      <c r="C2" s="111" t="s">
        <v>643</v>
      </c>
      <c r="D2" s="109" t="s">
        <v>1</v>
      </c>
      <c r="E2" s="109" t="s">
        <v>2</v>
      </c>
      <c r="F2" s="109" t="s">
        <v>3</v>
      </c>
      <c r="G2" s="109" t="s">
        <v>4</v>
      </c>
      <c r="H2" s="113" t="s">
        <v>573</v>
      </c>
      <c r="I2" s="113"/>
      <c r="J2" s="114" t="s">
        <v>574</v>
      </c>
      <c r="K2" s="114" t="s">
        <v>575</v>
      </c>
      <c r="L2" s="109" t="s">
        <v>5</v>
      </c>
      <c r="M2" s="115" t="s">
        <v>577</v>
      </c>
    </row>
    <row r="3" spans="1:13" ht="15" customHeight="1" x14ac:dyDescent="0.35">
      <c r="A3" s="109"/>
      <c r="B3" s="109"/>
      <c r="C3" s="112"/>
      <c r="D3" s="109"/>
      <c r="E3" s="109"/>
      <c r="F3" s="109"/>
      <c r="G3" s="109"/>
      <c r="H3" s="45" t="s">
        <v>578</v>
      </c>
      <c r="I3" s="45" t="s">
        <v>579</v>
      </c>
      <c r="J3" s="114"/>
      <c r="K3" s="114"/>
      <c r="L3" s="109"/>
      <c r="M3" s="115"/>
    </row>
    <row r="4" spans="1:13" ht="15" customHeight="1" x14ac:dyDescent="0.35">
      <c r="A4" s="108" t="s">
        <v>631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</row>
    <row r="5" spans="1:13" ht="15" customHeight="1" x14ac:dyDescent="0.35">
      <c r="A5" s="48">
        <v>1</v>
      </c>
      <c r="B5" s="48" t="s">
        <v>8</v>
      </c>
      <c r="C5" s="49" t="s">
        <v>26</v>
      </c>
      <c r="D5" s="49" t="s">
        <v>27</v>
      </c>
      <c r="E5" s="49" t="s">
        <v>10</v>
      </c>
      <c r="F5" s="49" t="s">
        <v>28</v>
      </c>
      <c r="G5" s="51" t="s">
        <v>627</v>
      </c>
      <c r="H5" s="28">
        <v>4</v>
      </c>
      <c r="I5" s="28">
        <v>1.5</v>
      </c>
      <c r="J5" s="28">
        <f t="shared" ref="J5:J6" si="0">H5*I5</f>
        <v>6</v>
      </c>
      <c r="K5" s="28">
        <v>1</v>
      </c>
      <c r="L5" s="50">
        <v>2780</v>
      </c>
      <c r="M5" s="48">
        <f>J5*K5*L5</f>
        <v>16680</v>
      </c>
    </row>
    <row r="6" spans="1:13" ht="15" customHeight="1" x14ac:dyDescent="0.35">
      <c r="A6" s="48">
        <v>2</v>
      </c>
      <c r="B6" s="48" t="s">
        <v>53</v>
      </c>
      <c r="C6" s="49" t="s">
        <v>53</v>
      </c>
      <c r="D6" s="49" t="s">
        <v>10</v>
      </c>
      <c r="E6" s="49" t="s">
        <v>214</v>
      </c>
      <c r="F6" s="49" t="s">
        <v>11</v>
      </c>
      <c r="G6" s="48"/>
      <c r="H6" s="28">
        <v>3.3</v>
      </c>
      <c r="I6" s="28">
        <v>6</v>
      </c>
      <c r="J6" s="28">
        <f t="shared" si="0"/>
        <v>19.799999999999997</v>
      </c>
      <c r="K6" s="28">
        <v>1</v>
      </c>
      <c r="L6" s="50">
        <f>IF(OR($C6="",$D6="",$E6="",$F6=""),"",IFERROR(INDEX(MASTERFLAT_PRICE,MATCH($C6&amp;"|"&amp;$D6&amp;"|"&amp;$E6&amp;"|"&amp;$F6,MASTERFLAT_KEY,0)),"Check Master List"))</f>
        <v>620</v>
      </c>
      <c r="M6" s="48">
        <f>J6*K6*L6</f>
        <v>12275.999999999998</v>
      </c>
    </row>
    <row r="7" spans="1:13" ht="15" customHeight="1" x14ac:dyDescent="0.35">
      <c r="A7" s="107" t="s">
        <v>583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54">
        <f>SUM(M5:M6)</f>
        <v>28956</v>
      </c>
    </row>
    <row r="8" spans="1:13" ht="15" customHeight="1" x14ac:dyDescent="0.35">
      <c r="A8" s="110" t="s">
        <v>632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</row>
    <row r="9" spans="1:13" x14ac:dyDescent="0.35">
      <c r="A9" s="48">
        <v>3</v>
      </c>
      <c r="B9" s="48" t="s">
        <v>8</v>
      </c>
      <c r="C9" s="49" t="s">
        <v>26</v>
      </c>
      <c r="D9" s="49" t="s">
        <v>27</v>
      </c>
      <c r="E9" s="49" t="s">
        <v>10</v>
      </c>
      <c r="F9" s="49" t="s">
        <v>28</v>
      </c>
      <c r="G9" s="48"/>
      <c r="H9" s="28">
        <v>5.5</v>
      </c>
      <c r="I9" s="28">
        <v>4</v>
      </c>
      <c r="J9" s="28">
        <f t="shared" ref="J9:J13" si="1">H9*I9</f>
        <v>22</v>
      </c>
      <c r="K9" s="28">
        <v>1</v>
      </c>
      <c r="L9" s="50">
        <f>IF(OR($C9="",$D9="",$E9="",$F9=""),"",IFERROR(INDEX(MASTERFLAT_PRICE,MATCH($C9&amp;"|"&amp;$D9&amp;"|"&amp;$E9&amp;"|"&amp;$F9,MASTERFLAT_KEY,0)),"Check Master List"))</f>
        <v>1570</v>
      </c>
      <c r="M9" s="48">
        <f>J9*K9*L9</f>
        <v>34540</v>
      </c>
    </row>
    <row r="10" spans="1:13" ht="15" customHeight="1" x14ac:dyDescent="0.35">
      <c r="A10" s="48">
        <v>4</v>
      </c>
      <c r="B10" s="48" t="s">
        <v>53</v>
      </c>
      <c r="C10" s="49" t="s">
        <v>53</v>
      </c>
      <c r="D10" s="49" t="s">
        <v>10</v>
      </c>
      <c r="E10" s="49" t="s">
        <v>214</v>
      </c>
      <c r="F10" s="49" t="s">
        <v>11</v>
      </c>
      <c r="G10" s="48"/>
      <c r="H10" s="28">
        <v>3.3</v>
      </c>
      <c r="I10" s="28">
        <v>6</v>
      </c>
      <c r="J10" s="28">
        <f t="shared" si="1"/>
        <v>19.799999999999997</v>
      </c>
      <c r="K10" s="28">
        <v>1</v>
      </c>
      <c r="L10" s="50">
        <f>IF(OR($C10="",$D10="",$E10="",$F10=""),"",IFERROR(INDEX(MASTERFLAT_PRICE,MATCH($C10&amp;"|"&amp;$D10&amp;"|"&amp;$E10&amp;"|"&amp;$F10,MASTERFLAT_KEY,0)),"Check Master List"))</f>
        <v>620</v>
      </c>
      <c r="M10" s="48">
        <f>J10*K10*L10</f>
        <v>12275.999999999998</v>
      </c>
    </row>
    <row r="11" spans="1:13" ht="15" customHeight="1" x14ac:dyDescent="0.35">
      <c r="A11" s="48">
        <v>5</v>
      </c>
      <c r="B11" s="51" t="s">
        <v>633</v>
      </c>
      <c r="C11" s="49" t="s">
        <v>26</v>
      </c>
      <c r="D11" s="49" t="s">
        <v>27</v>
      </c>
      <c r="E11" s="49" t="s">
        <v>10</v>
      </c>
      <c r="F11" s="49" t="s">
        <v>28</v>
      </c>
      <c r="G11" s="48"/>
      <c r="H11" s="28">
        <v>2</v>
      </c>
      <c r="I11" s="28">
        <v>6</v>
      </c>
      <c r="J11" s="28">
        <f t="shared" si="1"/>
        <v>12</v>
      </c>
      <c r="K11" s="28">
        <v>1</v>
      </c>
      <c r="L11" s="50">
        <f>IF(OR($C11="",$D11="",$E11="",$F11=""),"",IFERROR(INDEX(MASTERFLAT_PRICE,MATCH($C11&amp;"|"&amp;$D11&amp;"|"&amp;$E11&amp;"|"&amp;$F11,MASTERFLAT_KEY,0)),"Check Master List"))</f>
        <v>1570</v>
      </c>
      <c r="M11" s="48">
        <f>J11*K11*L11</f>
        <v>18840</v>
      </c>
    </row>
    <row r="12" spans="1:13" ht="15" customHeight="1" x14ac:dyDescent="0.35">
      <c r="A12" s="48">
        <v>6</v>
      </c>
      <c r="B12" s="51" t="s">
        <v>634</v>
      </c>
      <c r="C12" s="49" t="s">
        <v>26</v>
      </c>
      <c r="D12" s="49" t="s">
        <v>27</v>
      </c>
      <c r="E12" s="49" t="s">
        <v>10</v>
      </c>
      <c r="F12" s="49" t="s">
        <v>28</v>
      </c>
      <c r="G12" s="48"/>
      <c r="H12" s="28">
        <v>3</v>
      </c>
      <c r="I12" s="28">
        <v>7</v>
      </c>
      <c r="J12" s="28">
        <f t="shared" si="1"/>
        <v>21</v>
      </c>
      <c r="K12" s="28">
        <v>1</v>
      </c>
      <c r="L12" s="50">
        <f>IF(OR($C12="",$D12="",$E12="",$F12=""),"",IFERROR(INDEX(MASTERFLAT_PRICE,MATCH($C12&amp;"|"&amp;$D12&amp;"|"&amp;$E12&amp;"|"&amp;$F12,MASTERFLAT_KEY,0)),"Check Master List"))</f>
        <v>1570</v>
      </c>
      <c r="M12" s="48">
        <f>J12*K12*L12</f>
        <v>32970</v>
      </c>
    </row>
    <row r="13" spans="1:13" ht="15" customHeight="1" x14ac:dyDescent="0.35">
      <c r="A13" s="48">
        <v>7</v>
      </c>
      <c r="B13" s="51" t="s">
        <v>634</v>
      </c>
      <c r="C13" s="49" t="s">
        <v>53</v>
      </c>
      <c r="D13" s="49" t="s">
        <v>10</v>
      </c>
      <c r="E13" s="49" t="s">
        <v>214</v>
      </c>
      <c r="F13" s="49" t="s">
        <v>58</v>
      </c>
      <c r="G13" s="48"/>
      <c r="H13" s="28">
        <v>3</v>
      </c>
      <c r="I13" s="28">
        <v>7</v>
      </c>
      <c r="J13" s="28">
        <f t="shared" si="1"/>
        <v>21</v>
      </c>
      <c r="K13" s="28">
        <v>1</v>
      </c>
      <c r="L13" s="50">
        <f>IF(OR($C13="",$D13="",$E13="",$F13=""),"",IFERROR(INDEX(MASTERFLAT_PRICE,MATCH($C13&amp;"|"&amp;$D13&amp;"|"&amp;$E13&amp;"|"&amp;$F13,MASTERFLAT_KEY,0)),"Check Master List"))</f>
        <v>1030</v>
      </c>
      <c r="M13" s="48">
        <f>J13*K13*L13</f>
        <v>21630</v>
      </c>
    </row>
    <row r="14" spans="1:13" ht="15" customHeight="1" x14ac:dyDescent="0.35">
      <c r="A14" s="107" t="s">
        <v>583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54">
        <f>SUM(M9:M13)</f>
        <v>120256</v>
      </c>
    </row>
    <row r="15" spans="1:13" ht="15" customHeight="1" x14ac:dyDescent="0.35">
      <c r="A15" s="110" t="s">
        <v>635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</row>
    <row r="16" spans="1:13" ht="15" customHeight="1" x14ac:dyDescent="0.35">
      <c r="A16" s="55">
        <v>8</v>
      </c>
      <c r="B16" s="51" t="s">
        <v>8</v>
      </c>
      <c r="C16" s="49" t="s">
        <v>8</v>
      </c>
      <c r="D16" s="49" t="s">
        <v>9</v>
      </c>
      <c r="E16" s="49" t="s">
        <v>10</v>
      </c>
      <c r="F16" s="49" t="s">
        <v>11</v>
      </c>
      <c r="G16" s="48"/>
      <c r="H16" s="30">
        <v>8</v>
      </c>
      <c r="I16" s="30">
        <v>2.8</v>
      </c>
      <c r="J16" s="28">
        <f t="shared" ref="J16:J22" si="2">H16*I16</f>
        <v>22.4</v>
      </c>
      <c r="K16" s="28">
        <v>1</v>
      </c>
      <c r="L16" s="50">
        <f t="shared" ref="L16:L22" si="3">IF(OR($C16="",$D16="",$E16="",$F16=""),"",IFERROR(INDEX(MASTERFLAT_PRICE,MATCH($C16&amp;"|"&amp;$D16&amp;"|"&amp;$E16&amp;"|"&amp;$F16,MASTERFLAT_KEY,0)),"Check Master List"))</f>
        <v>1990</v>
      </c>
      <c r="M16" s="48">
        <f>J16*K16*L16</f>
        <v>44576</v>
      </c>
    </row>
    <row r="17" spans="1:14" ht="15" customHeight="1" x14ac:dyDescent="0.35">
      <c r="A17" s="55">
        <v>9</v>
      </c>
      <c r="B17" s="51" t="s">
        <v>23</v>
      </c>
      <c r="C17" s="49" t="s">
        <v>23</v>
      </c>
      <c r="D17" s="49" t="s">
        <v>9</v>
      </c>
      <c r="E17" s="49" t="s">
        <v>24</v>
      </c>
      <c r="F17" s="49" t="s">
        <v>18</v>
      </c>
      <c r="G17" s="48"/>
      <c r="H17" s="30">
        <v>5</v>
      </c>
      <c r="I17" s="30">
        <v>2.4</v>
      </c>
      <c r="J17" s="28">
        <f t="shared" si="2"/>
        <v>12</v>
      </c>
      <c r="K17" s="28">
        <v>1</v>
      </c>
      <c r="L17" s="50">
        <f t="shared" si="3"/>
        <v>2420</v>
      </c>
      <c r="M17" s="48">
        <f t="shared" ref="M17:M22" si="4">J17*K17*L17</f>
        <v>29040</v>
      </c>
    </row>
    <row r="18" spans="1:14" ht="15" customHeight="1" x14ac:dyDescent="0.35">
      <c r="A18" s="55">
        <v>10</v>
      </c>
      <c r="B18" s="51" t="s">
        <v>633</v>
      </c>
      <c r="C18" s="49" t="s">
        <v>23</v>
      </c>
      <c r="D18" s="49" t="s">
        <v>9</v>
      </c>
      <c r="E18" s="49" t="s">
        <v>10</v>
      </c>
      <c r="F18" s="49" t="s">
        <v>11</v>
      </c>
      <c r="G18" s="48"/>
      <c r="H18" s="30">
        <v>2</v>
      </c>
      <c r="I18" s="30">
        <v>7</v>
      </c>
      <c r="J18" s="28">
        <f t="shared" si="2"/>
        <v>14</v>
      </c>
      <c r="K18" s="28">
        <v>1</v>
      </c>
      <c r="L18" s="50">
        <f t="shared" si="3"/>
        <v>1750</v>
      </c>
      <c r="M18" s="48">
        <f t="shared" si="4"/>
        <v>24500</v>
      </c>
    </row>
    <row r="19" spans="1:14" ht="15" customHeight="1" x14ac:dyDescent="0.35">
      <c r="A19" s="55">
        <v>11</v>
      </c>
      <c r="B19" s="51" t="s">
        <v>25</v>
      </c>
      <c r="C19" s="49" t="s">
        <v>25</v>
      </c>
      <c r="D19" s="49" t="s">
        <v>22</v>
      </c>
      <c r="E19" s="49" t="s">
        <v>10</v>
      </c>
      <c r="F19" s="49" t="s">
        <v>11</v>
      </c>
      <c r="G19" s="48"/>
      <c r="H19" s="30">
        <v>8</v>
      </c>
      <c r="I19" s="30">
        <v>2.4</v>
      </c>
      <c r="J19" s="28">
        <f t="shared" si="2"/>
        <v>19.2</v>
      </c>
      <c r="K19" s="28">
        <v>1</v>
      </c>
      <c r="L19" s="50">
        <f t="shared" si="3"/>
        <v>1450</v>
      </c>
      <c r="M19" s="48">
        <f t="shared" si="4"/>
        <v>27840</v>
      </c>
    </row>
    <row r="20" spans="1:14" ht="15" customHeight="1" x14ac:dyDescent="0.35">
      <c r="A20" s="55">
        <v>12</v>
      </c>
      <c r="B20" s="51" t="s">
        <v>636</v>
      </c>
      <c r="C20" s="56" t="s">
        <v>8</v>
      </c>
      <c r="D20" s="49" t="s">
        <v>9</v>
      </c>
      <c r="E20" s="49" t="s">
        <v>10</v>
      </c>
      <c r="F20" s="49" t="s">
        <v>11</v>
      </c>
      <c r="G20" s="48"/>
      <c r="H20" s="30">
        <v>4</v>
      </c>
      <c r="I20" s="30">
        <v>2.8</v>
      </c>
      <c r="J20" s="30">
        <f t="shared" si="2"/>
        <v>11.2</v>
      </c>
      <c r="K20" s="30">
        <v>1</v>
      </c>
      <c r="L20" s="50">
        <f t="shared" si="3"/>
        <v>1990</v>
      </c>
      <c r="M20" s="48">
        <f t="shared" si="4"/>
        <v>22288</v>
      </c>
    </row>
    <row r="21" spans="1:14" ht="15" customHeight="1" x14ac:dyDescent="0.35">
      <c r="A21" s="55">
        <v>13</v>
      </c>
      <c r="B21" s="51" t="s">
        <v>637</v>
      </c>
      <c r="C21" s="56" t="s">
        <v>8</v>
      </c>
      <c r="D21" s="49" t="s">
        <v>22</v>
      </c>
      <c r="E21" s="49" t="s">
        <v>10</v>
      </c>
      <c r="F21" s="49" t="s">
        <v>11</v>
      </c>
      <c r="G21" s="48"/>
      <c r="H21" s="30">
        <v>1</v>
      </c>
      <c r="I21" s="30">
        <v>7</v>
      </c>
      <c r="J21" s="30">
        <f t="shared" si="2"/>
        <v>7</v>
      </c>
      <c r="K21" s="30">
        <v>1</v>
      </c>
      <c r="L21" s="50">
        <f t="shared" si="3"/>
        <v>1750</v>
      </c>
      <c r="M21" s="48">
        <f t="shared" si="4"/>
        <v>12250</v>
      </c>
    </row>
    <row r="22" spans="1:14" ht="15" customHeight="1" x14ac:dyDescent="0.35">
      <c r="A22" s="55">
        <v>14</v>
      </c>
      <c r="B22" s="51" t="s">
        <v>23</v>
      </c>
      <c r="C22" s="49" t="s">
        <v>23</v>
      </c>
      <c r="D22" s="49" t="s">
        <v>22</v>
      </c>
      <c r="E22" s="49" t="s">
        <v>10</v>
      </c>
      <c r="F22" s="49" t="s">
        <v>11</v>
      </c>
      <c r="G22" s="48"/>
      <c r="H22" s="30">
        <v>4</v>
      </c>
      <c r="I22" s="30">
        <v>2.5</v>
      </c>
      <c r="J22" s="30">
        <f t="shared" si="2"/>
        <v>10</v>
      </c>
      <c r="K22" s="30">
        <v>1</v>
      </c>
      <c r="L22" s="50">
        <f t="shared" si="3"/>
        <v>1630</v>
      </c>
      <c r="M22" s="48">
        <f t="shared" si="4"/>
        <v>16300</v>
      </c>
    </row>
    <row r="23" spans="1:14" ht="15" customHeight="1" x14ac:dyDescent="0.35">
      <c r="A23" s="107" t="s">
        <v>583</v>
      </c>
      <c r="B23" s="107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54">
        <f>SUM(M16:M22)</f>
        <v>176794</v>
      </c>
    </row>
    <row r="24" spans="1:14" ht="15" customHeight="1" x14ac:dyDescent="0.35">
      <c r="A24" s="110" t="s">
        <v>588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</row>
    <row r="25" spans="1:14" ht="15" customHeight="1" x14ac:dyDescent="0.35">
      <c r="A25" s="55">
        <v>15</v>
      </c>
      <c r="B25" s="51" t="s">
        <v>638</v>
      </c>
      <c r="C25" s="49" t="s">
        <v>26</v>
      </c>
      <c r="D25" s="49" t="s">
        <v>27</v>
      </c>
      <c r="E25" s="49" t="s">
        <v>32</v>
      </c>
      <c r="F25" s="49" t="s">
        <v>18</v>
      </c>
      <c r="G25" s="48"/>
      <c r="H25" s="30">
        <v>7</v>
      </c>
      <c r="I25" s="30">
        <v>7</v>
      </c>
      <c r="J25" s="30">
        <f t="shared" ref="J25:J27" si="5">H25*I25</f>
        <v>49</v>
      </c>
      <c r="K25" s="30">
        <v>1</v>
      </c>
      <c r="L25" s="50">
        <f>IF(OR($C25="",$D25="",$E25="",$F25=""),"",IFERROR(INDEX(MASTERFLAT_PRICE,MATCH($C25&amp;"|"&amp;$D25&amp;"|"&amp;$E25&amp;"|"&amp;$F25,MASTERFLAT_KEY,0)),"Check Master List"))</f>
        <v>2240</v>
      </c>
      <c r="M25" s="48">
        <f t="shared" ref="M25:M27" si="6">J25*K25*L25</f>
        <v>109760</v>
      </c>
      <c r="N25" s="53"/>
    </row>
    <row r="26" spans="1:14" ht="15" customHeight="1" x14ac:dyDescent="0.35">
      <c r="A26" s="55">
        <v>16</v>
      </c>
      <c r="B26" s="51" t="s">
        <v>25</v>
      </c>
      <c r="C26" s="56" t="s">
        <v>25</v>
      </c>
      <c r="D26" s="49" t="s">
        <v>27</v>
      </c>
      <c r="E26" s="49" t="s">
        <v>10</v>
      </c>
      <c r="F26" s="49" t="s">
        <v>28</v>
      </c>
      <c r="G26" s="48"/>
      <c r="H26" s="30">
        <v>7</v>
      </c>
      <c r="I26" s="30">
        <v>2.5</v>
      </c>
      <c r="J26" s="30">
        <f t="shared" si="5"/>
        <v>17.5</v>
      </c>
      <c r="K26" s="30">
        <v>1</v>
      </c>
      <c r="L26" s="50">
        <f>IF(OR($C26="",$D26="",$E26="",$F26=""),"",IFERROR(INDEX(MASTERFLAT_PRICE,MATCH($C26&amp;"|"&amp;$D26&amp;"|"&amp;$E26&amp;"|"&amp;$F26,MASTERFLAT_KEY,0)),"Check Master List"))</f>
        <v>1450</v>
      </c>
      <c r="M26" s="48">
        <f t="shared" si="6"/>
        <v>25375</v>
      </c>
    </row>
    <row r="27" spans="1:14" ht="15" customHeight="1" x14ac:dyDescent="0.35">
      <c r="A27" s="55">
        <v>17</v>
      </c>
      <c r="B27" s="51" t="s">
        <v>639</v>
      </c>
      <c r="C27" s="49" t="s">
        <v>80</v>
      </c>
      <c r="D27" s="49" t="s">
        <v>81</v>
      </c>
      <c r="E27" s="49" t="s">
        <v>214</v>
      </c>
      <c r="F27" s="49" t="s">
        <v>214</v>
      </c>
      <c r="G27" s="48"/>
      <c r="H27" s="30">
        <v>3</v>
      </c>
      <c r="I27" s="30">
        <v>1.5</v>
      </c>
      <c r="J27" s="30">
        <f t="shared" si="5"/>
        <v>4.5</v>
      </c>
      <c r="K27" s="30">
        <v>1</v>
      </c>
      <c r="L27" s="50">
        <f>IF(OR($C27="",$D27="",$E27="",$F27=""),"",IFERROR(INDEX(MASTERFLAT_PRICE,MATCH($C27&amp;"|"&amp;$D27&amp;"|"&amp;$E27&amp;"|"&amp;$F27,MASTERFLAT_KEY,0)),"Check Master List"))</f>
        <v>2970</v>
      </c>
      <c r="M27" s="48">
        <f t="shared" si="6"/>
        <v>13365</v>
      </c>
    </row>
    <row r="28" spans="1:14" ht="15" customHeight="1" x14ac:dyDescent="0.35">
      <c r="A28" s="55">
        <v>18</v>
      </c>
      <c r="B28" s="51" t="s">
        <v>639</v>
      </c>
      <c r="C28" s="49" t="s">
        <v>80</v>
      </c>
      <c r="D28" s="49" t="s">
        <v>85</v>
      </c>
      <c r="E28" s="49" t="s">
        <v>214</v>
      </c>
      <c r="F28" s="49" t="s">
        <v>86</v>
      </c>
      <c r="G28" s="48"/>
      <c r="H28" s="49"/>
      <c r="I28" s="48"/>
      <c r="J28" s="48"/>
      <c r="K28" s="30">
        <v>1</v>
      </c>
      <c r="L28" s="50">
        <f>IF(OR($C28="",$D28="",$E28="",$F28=""),"",IFERROR(INDEX(MASTERFLAT_PRICE,MATCH($C28&amp;"|"&amp;$D28&amp;"|"&amp;$E28&amp;"|"&amp;$F28,MASTERFLAT_KEY,0)),"Check Master List"))</f>
        <v>12650</v>
      </c>
      <c r="M28" s="48">
        <f>K28*L28</f>
        <v>12650</v>
      </c>
    </row>
    <row r="29" spans="1:14" ht="15" customHeight="1" x14ac:dyDescent="0.35">
      <c r="A29" s="107" t="s">
        <v>583</v>
      </c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54">
        <f>SUM(M25:M28)</f>
        <v>161150</v>
      </c>
    </row>
    <row r="30" spans="1:14" ht="15" customHeight="1" x14ac:dyDescent="0.35">
      <c r="A30" s="110" t="s">
        <v>640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</row>
    <row r="31" spans="1:14" ht="15" customHeight="1" x14ac:dyDescent="0.35">
      <c r="A31" s="55">
        <v>15</v>
      </c>
      <c r="B31" s="51" t="s">
        <v>638</v>
      </c>
      <c r="C31" s="49" t="s">
        <v>26</v>
      </c>
      <c r="D31" s="49" t="s">
        <v>27</v>
      </c>
      <c r="E31" s="49" t="s">
        <v>32</v>
      </c>
      <c r="F31" s="49" t="s">
        <v>18</v>
      </c>
      <c r="G31" s="48"/>
      <c r="H31" s="30">
        <v>7</v>
      </c>
      <c r="I31" s="30">
        <v>7</v>
      </c>
      <c r="J31" s="30">
        <f t="shared" ref="J31:J33" si="7">H31*I31</f>
        <v>49</v>
      </c>
      <c r="K31" s="30">
        <v>1</v>
      </c>
      <c r="L31" s="50">
        <f>IF(OR($C31="",$D31="",$E31="",$F31=""),"",IFERROR(INDEX(MASTERFLAT_PRICE,MATCH($C31&amp;"|"&amp;$D31&amp;"|"&amp;$E31&amp;"|"&amp;$F31,MASTERFLAT_KEY,0)),"Check Master List"))</f>
        <v>2240</v>
      </c>
      <c r="M31" s="48">
        <f t="shared" ref="M31:M33" si="8">J31*K31*L31</f>
        <v>109760</v>
      </c>
      <c r="N31" s="53"/>
    </row>
    <row r="32" spans="1:14" ht="15" customHeight="1" x14ac:dyDescent="0.35">
      <c r="A32" s="55">
        <v>16</v>
      </c>
      <c r="B32" s="51" t="s">
        <v>25</v>
      </c>
      <c r="C32" s="56" t="s">
        <v>25</v>
      </c>
      <c r="D32" s="49" t="s">
        <v>27</v>
      </c>
      <c r="E32" s="49" t="s">
        <v>10</v>
      </c>
      <c r="F32" s="49" t="s">
        <v>28</v>
      </c>
      <c r="G32" s="48"/>
      <c r="H32" s="30">
        <v>7</v>
      </c>
      <c r="I32" s="30">
        <v>2.5</v>
      </c>
      <c r="J32" s="30">
        <f t="shared" si="7"/>
        <v>17.5</v>
      </c>
      <c r="K32" s="30">
        <v>1</v>
      </c>
      <c r="L32" s="50">
        <f>IF(OR($C32="",$D32="",$E32="",$F32=""),"",IFERROR(INDEX(MASTERFLAT_PRICE,MATCH($C32&amp;"|"&amp;$D32&amp;"|"&amp;$E32&amp;"|"&amp;$F32,MASTERFLAT_KEY,0)),"Check Master List"))</f>
        <v>1450</v>
      </c>
      <c r="M32" s="48">
        <f t="shared" si="8"/>
        <v>25375</v>
      </c>
    </row>
    <row r="33" spans="1:14" ht="15" customHeight="1" x14ac:dyDescent="0.35">
      <c r="A33" s="55">
        <v>17</v>
      </c>
      <c r="B33" s="51" t="s">
        <v>639</v>
      </c>
      <c r="C33" s="49" t="s">
        <v>80</v>
      </c>
      <c r="D33" s="49" t="s">
        <v>81</v>
      </c>
      <c r="E33" s="49" t="s">
        <v>214</v>
      </c>
      <c r="F33" s="49" t="s">
        <v>214</v>
      </c>
      <c r="G33" s="48"/>
      <c r="H33" s="30">
        <v>3</v>
      </c>
      <c r="I33" s="30">
        <v>1.5</v>
      </c>
      <c r="J33" s="30">
        <f t="shared" si="7"/>
        <v>4.5</v>
      </c>
      <c r="K33" s="30">
        <v>1</v>
      </c>
      <c r="L33" s="50">
        <f>IF(OR($C33="",$D33="",$E33="",$F33=""),"",IFERROR(INDEX(MASTERFLAT_PRICE,MATCH($C33&amp;"|"&amp;$D33&amp;"|"&amp;$E33&amp;"|"&amp;$F33,MASTERFLAT_KEY,0)),"Check Master List"))</f>
        <v>2970</v>
      </c>
      <c r="M33" s="48">
        <f t="shared" si="8"/>
        <v>13365</v>
      </c>
    </row>
    <row r="34" spans="1:14" ht="15" customHeight="1" x14ac:dyDescent="0.35">
      <c r="A34" s="55">
        <v>18</v>
      </c>
      <c r="B34" s="51" t="s">
        <v>639</v>
      </c>
      <c r="C34" s="49" t="s">
        <v>80</v>
      </c>
      <c r="D34" s="49" t="s">
        <v>85</v>
      </c>
      <c r="E34" s="49" t="s">
        <v>214</v>
      </c>
      <c r="F34" s="49" t="s">
        <v>86</v>
      </c>
      <c r="G34" s="48"/>
      <c r="H34" s="49"/>
      <c r="I34" s="48"/>
      <c r="J34" s="48"/>
      <c r="K34" s="30">
        <v>1</v>
      </c>
      <c r="L34" s="50">
        <f>IF(OR($C34="",$D34="",$E34="",$F34=""),"",IFERROR(INDEX(MASTERFLAT_PRICE,MATCH($C34&amp;"|"&amp;$D34&amp;"|"&amp;$E34&amp;"|"&amp;$F34,MASTERFLAT_KEY,0)),"Check Master List"))</f>
        <v>12650</v>
      </c>
      <c r="M34" s="48">
        <f>K34*L34</f>
        <v>12650</v>
      </c>
    </row>
    <row r="35" spans="1:14" ht="15" customHeight="1" x14ac:dyDescent="0.35">
      <c r="A35" s="107" t="s">
        <v>583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54">
        <f>SUM(M31:M34)</f>
        <v>161150</v>
      </c>
    </row>
    <row r="36" spans="1:14" ht="15" customHeight="1" x14ac:dyDescent="0.35">
      <c r="A36" s="110" t="s">
        <v>641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</row>
    <row r="37" spans="1:14" ht="15" customHeight="1" x14ac:dyDescent="0.35">
      <c r="A37" s="55">
        <v>19</v>
      </c>
      <c r="B37" s="51" t="s">
        <v>642</v>
      </c>
      <c r="C37" s="56" t="s">
        <v>8</v>
      </c>
      <c r="D37" s="49" t="s">
        <v>9</v>
      </c>
      <c r="E37" s="49" t="s">
        <v>10</v>
      </c>
      <c r="F37" s="49" t="s">
        <v>11</v>
      </c>
      <c r="G37" s="48"/>
      <c r="H37" s="30">
        <v>7</v>
      </c>
      <c r="I37" s="30">
        <v>7</v>
      </c>
      <c r="J37" s="30">
        <f t="shared" ref="J37:J38" si="9">H37*I37</f>
        <v>49</v>
      </c>
      <c r="K37" s="30">
        <v>1</v>
      </c>
      <c r="L37" s="50">
        <f>IF(OR($C37="",$D37="",$E37="",$F37=""),"",IFERROR(INDEX(MASTERFLAT_PRICE,MATCH($C37&amp;"|"&amp;$D37&amp;"|"&amp;$E37&amp;"|"&amp;$F37,MASTERFLAT_KEY,0)),"Check Master List"))</f>
        <v>1990</v>
      </c>
      <c r="M37" s="48">
        <f t="shared" ref="M37:M38" si="10">J37*K37*L37</f>
        <v>97510</v>
      </c>
      <c r="N37" s="53"/>
    </row>
    <row r="38" spans="1:14" ht="15" customHeight="1" x14ac:dyDescent="0.35">
      <c r="A38" s="55">
        <v>20</v>
      </c>
      <c r="B38" s="51" t="s">
        <v>607</v>
      </c>
      <c r="C38" s="56" t="s">
        <v>53</v>
      </c>
      <c r="D38" s="49" t="s">
        <v>65</v>
      </c>
      <c r="E38" s="49" t="s">
        <v>214</v>
      </c>
      <c r="F38" s="49" t="s">
        <v>64</v>
      </c>
      <c r="G38" s="48"/>
      <c r="H38" s="30">
        <v>2</v>
      </c>
      <c r="I38" s="30">
        <v>3</v>
      </c>
      <c r="J38" s="30">
        <f t="shared" si="9"/>
        <v>6</v>
      </c>
      <c r="K38" s="30">
        <v>1</v>
      </c>
      <c r="L38" s="50">
        <f>IF(OR($C38="",$D38="",$E38="",$F38=""),"",IFERROR(INDEX(MASTERFLAT_PRICE,MATCH($C38&amp;"|"&amp;$D38&amp;"|"&amp;$E38&amp;"|"&amp;$F38,MASTERFLAT_KEY,0)),"Check Master List"))</f>
        <v>850</v>
      </c>
      <c r="M38" s="48">
        <f t="shared" si="10"/>
        <v>5100</v>
      </c>
      <c r="N38" s="52"/>
    </row>
    <row r="39" spans="1:14" ht="15" customHeight="1" x14ac:dyDescent="0.35">
      <c r="A39" s="55"/>
      <c r="B39" s="51" t="s">
        <v>644</v>
      </c>
      <c r="C39" s="56" t="s">
        <v>8</v>
      </c>
      <c r="D39" s="49" t="s">
        <v>9</v>
      </c>
      <c r="E39" s="49" t="s">
        <v>10</v>
      </c>
      <c r="F39" s="49" t="s">
        <v>11</v>
      </c>
      <c r="G39" s="48"/>
      <c r="H39" s="30"/>
      <c r="I39" s="30"/>
      <c r="J39" s="30"/>
      <c r="K39" s="30"/>
      <c r="L39" s="50">
        <f>IF(OR($C39="",$D39="",$E39="",$F39=""),"",IFERROR(INDEX(MASTERFLAT_PRICE,MATCH($C39&amp;"|"&amp;$D39&amp;"|"&amp;$E39&amp;"|"&amp;$F39,MASTERFLAT_KEY,0)),"Check Master List"))</f>
        <v>1990</v>
      </c>
      <c r="M39" s="48"/>
      <c r="N39" s="52"/>
    </row>
    <row r="40" spans="1:14" ht="15" customHeight="1" x14ac:dyDescent="0.35">
      <c r="A40" s="55"/>
      <c r="B40" s="51" t="s">
        <v>628</v>
      </c>
      <c r="C40" s="56" t="s">
        <v>26</v>
      </c>
      <c r="D40" s="49" t="s">
        <v>27</v>
      </c>
      <c r="E40" s="49" t="s">
        <v>32</v>
      </c>
      <c r="F40" s="49" t="s">
        <v>18</v>
      </c>
      <c r="G40" s="48"/>
      <c r="H40" s="30"/>
      <c r="I40" s="30"/>
      <c r="J40" s="30"/>
      <c r="K40" s="30"/>
      <c r="L40" s="50">
        <f>IF(OR($C40="",$D40="",$E40="",$F40=""),"",IFERROR(INDEX(MASTERFLAT_PRICE,MATCH($C40&amp;"|"&amp;$D40&amp;"|"&amp;$E40&amp;"|"&amp;$F40,MASTERFLAT_KEY,0)),"Check Master List"))</f>
        <v>2240</v>
      </c>
      <c r="M40" s="48"/>
      <c r="N40" s="53"/>
    </row>
    <row r="41" spans="1:14" ht="15" customHeight="1" x14ac:dyDescent="0.35">
      <c r="A41" s="107" t="s">
        <v>583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7"/>
      <c r="M41" s="54">
        <f>SUM(M37:M38)</f>
        <v>102610</v>
      </c>
    </row>
    <row r="42" spans="1:14" ht="15" customHeight="1" x14ac:dyDescent="0.35">
      <c r="A42" s="103" t="s">
        <v>609</v>
      </c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35">
        <f>M41+M35+M29+M23+M14+M7</f>
        <v>750916</v>
      </c>
    </row>
    <row r="43" spans="1:14" ht="15" customHeight="1" x14ac:dyDescent="0.35">
      <c r="A43" s="103" t="s">
        <v>610</v>
      </c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35">
        <f>(M42*1.18)-M42</f>
        <v>135164.88</v>
      </c>
    </row>
    <row r="44" spans="1:14" ht="15" customHeight="1" x14ac:dyDescent="0.35">
      <c r="A44" s="104" t="s">
        <v>583</v>
      </c>
      <c r="B44" s="104"/>
      <c r="C44" s="104"/>
      <c r="D44" s="104"/>
      <c r="E44" s="104"/>
      <c r="F44" s="104"/>
      <c r="G44" s="104"/>
      <c r="H44" s="104"/>
      <c r="I44" s="104"/>
      <c r="J44" s="104"/>
      <c r="K44" s="104"/>
      <c r="L44" s="104"/>
      <c r="M44" s="36">
        <f>M42+M43</f>
        <v>886080.88</v>
      </c>
    </row>
    <row r="45" spans="1:14" ht="15" customHeight="1" x14ac:dyDescent="0.35">
      <c r="A45" s="104" t="e">
        <f ca="1">RupeeFormat(M44)</f>
        <v>#NAME?</v>
      </c>
      <c r="B45" s="104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36"/>
    </row>
    <row r="46" spans="1:14" ht="15" customHeight="1" x14ac:dyDescent="0.35">
      <c r="C46" s="46"/>
      <c r="D46" s="46"/>
      <c r="E46" s="46"/>
      <c r="F46" s="46"/>
      <c r="L46" s="47"/>
    </row>
    <row r="47" spans="1:14" ht="15" customHeight="1" x14ac:dyDescent="0.35">
      <c r="C47" s="19"/>
      <c r="D47" s="19"/>
      <c r="E47" s="19"/>
      <c r="F47" s="19"/>
      <c r="L47" s="20"/>
    </row>
    <row r="48" spans="1:14" ht="15" customHeight="1" x14ac:dyDescent="0.35">
      <c r="C48" s="19"/>
      <c r="D48" s="19"/>
      <c r="E48" s="19"/>
      <c r="F48" s="19"/>
      <c r="L48" s="20"/>
    </row>
    <row r="49" spans="3:12" ht="15" customHeight="1" x14ac:dyDescent="0.35">
      <c r="C49" s="19"/>
      <c r="D49" s="19"/>
      <c r="E49" s="19"/>
      <c r="F49" s="19"/>
      <c r="L49" s="20"/>
    </row>
    <row r="50" spans="3:12" ht="15" customHeight="1" x14ac:dyDescent="0.35">
      <c r="C50" s="19"/>
      <c r="D50" s="19"/>
      <c r="E50" s="19"/>
      <c r="F50" s="19"/>
      <c r="L50" s="20"/>
    </row>
    <row r="51" spans="3:12" ht="15" customHeight="1" x14ac:dyDescent="0.35">
      <c r="C51" s="19"/>
      <c r="D51" s="19"/>
      <c r="E51" s="19"/>
      <c r="F51" s="19"/>
      <c r="L51" s="20"/>
    </row>
    <row r="52" spans="3:12" ht="15" customHeight="1" x14ac:dyDescent="0.35">
      <c r="C52" s="19"/>
      <c r="D52" s="19"/>
      <c r="E52" s="19"/>
      <c r="F52" s="19"/>
      <c r="L52" s="20"/>
    </row>
    <row r="53" spans="3:12" ht="15" customHeight="1" x14ac:dyDescent="0.35">
      <c r="C53" s="19"/>
      <c r="D53" s="19"/>
      <c r="E53" s="19"/>
      <c r="F53" s="19"/>
      <c r="L53" s="20"/>
    </row>
    <row r="54" spans="3:12" ht="15" customHeight="1" x14ac:dyDescent="0.35">
      <c r="C54" s="19"/>
      <c r="D54" s="19"/>
      <c r="E54" s="19"/>
      <c r="F54" s="19"/>
      <c r="L54" s="20"/>
    </row>
    <row r="55" spans="3:12" ht="15" customHeight="1" x14ac:dyDescent="0.35">
      <c r="C55" s="19"/>
      <c r="D55" s="19"/>
      <c r="E55" s="19"/>
      <c r="F55" s="19"/>
      <c r="L55" s="20"/>
    </row>
    <row r="56" spans="3:12" ht="15" customHeight="1" x14ac:dyDescent="0.35">
      <c r="C56" s="19"/>
      <c r="D56" s="19"/>
      <c r="E56" s="19"/>
      <c r="F56" s="19"/>
      <c r="L56" s="20"/>
    </row>
    <row r="57" spans="3:12" ht="15" customHeight="1" x14ac:dyDescent="0.35">
      <c r="C57" s="19"/>
      <c r="D57" s="19"/>
      <c r="E57" s="19"/>
      <c r="F57" s="19"/>
      <c r="L57" s="20"/>
    </row>
    <row r="58" spans="3:12" ht="15" customHeight="1" x14ac:dyDescent="0.35">
      <c r="C58" s="19"/>
      <c r="D58" s="19"/>
      <c r="E58" s="19"/>
      <c r="F58" s="19"/>
      <c r="L58" s="20"/>
    </row>
    <row r="59" spans="3:12" ht="15" customHeight="1" x14ac:dyDescent="0.35">
      <c r="C59" s="19"/>
      <c r="D59" s="19"/>
      <c r="E59" s="19"/>
      <c r="F59" s="19"/>
      <c r="L59" s="20"/>
    </row>
    <row r="60" spans="3:12" ht="15" customHeight="1" x14ac:dyDescent="0.35">
      <c r="C60" s="19"/>
      <c r="D60" s="19"/>
      <c r="E60" s="19"/>
      <c r="F60" s="19"/>
      <c r="L60" s="20"/>
    </row>
    <row r="61" spans="3:12" ht="15" customHeight="1" x14ac:dyDescent="0.35">
      <c r="C61" s="19"/>
      <c r="D61" s="19"/>
      <c r="E61" s="19"/>
      <c r="F61" s="19"/>
      <c r="L61" s="20"/>
    </row>
    <row r="62" spans="3:12" ht="15" customHeight="1" x14ac:dyDescent="0.35">
      <c r="C62" s="19"/>
      <c r="D62" s="19"/>
      <c r="E62" s="19"/>
      <c r="F62" s="19"/>
      <c r="L62" s="20"/>
    </row>
    <row r="63" spans="3:12" ht="15" customHeight="1" x14ac:dyDescent="0.35">
      <c r="C63" s="19"/>
      <c r="D63" s="19"/>
      <c r="E63" s="19"/>
      <c r="F63" s="19"/>
      <c r="L63" s="20"/>
    </row>
    <row r="64" spans="3:12" ht="15" customHeight="1" x14ac:dyDescent="0.35">
      <c r="C64" s="19"/>
      <c r="D64" s="19"/>
      <c r="E64" s="19"/>
      <c r="F64" s="19"/>
      <c r="L64" s="20"/>
    </row>
    <row r="65" spans="3:12" ht="15" customHeight="1" x14ac:dyDescent="0.35">
      <c r="C65" s="19"/>
      <c r="D65" s="19"/>
      <c r="E65" s="19"/>
      <c r="F65" s="19"/>
      <c r="L65" s="20"/>
    </row>
    <row r="66" spans="3:12" ht="15" customHeight="1" x14ac:dyDescent="0.35">
      <c r="C66" s="19"/>
      <c r="D66" s="19"/>
      <c r="E66" s="19"/>
      <c r="F66" s="19"/>
      <c r="L66" s="20"/>
    </row>
    <row r="67" spans="3:12" ht="15" customHeight="1" x14ac:dyDescent="0.35">
      <c r="C67" s="19"/>
      <c r="D67" s="19"/>
      <c r="E67" s="19"/>
      <c r="F67" s="19"/>
      <c r="L67" s="20"/>
    </row>
    <row r="68" spans="3:12" ht="15" customHeight="1" x14ac:dyDescent="0.35">
      <c r="C68" s="19"/>
      <c r="D68" s="19"/>
      <c r="E68" s="19"/>
      <c r="F68" s="19"/>
      <c r="L68" s="20"/>
    </row>
    <row r="69" spans="3:12" ht="15" customHeight="1" x14ac:dyDescent="0.35">
      <c r="C69" s="19"/>
      <c r="D69" s="19"/>
      <c r="E69" s="19"/>
      <c r="F69" s="19"/>
      <c r="L69" s="20"/>
    </row>
    <row r="70" spans="3:12" ht="15" customHeight="1" x14ac:dyDescent="0.35">
      <c r="C70" s="19"/>
      <c r="D70" s="19"/>
      <c r="E70" s="19"/>
      <c r="F70" s="19"/>
      <c r="L70" s="20"/>
    </row>
    <row r="71" spans="3:12" ht="15" customHeight="1" x14ac:dyDescent="0.35">
      <c r="C71" s="19"/>
      <c r="D71" s="19"/>
      <c r="E71" s="19"/>
      <c r="F71" s="19"/>
      <c r="L71" s="20"/>
    </row>
    <row r="72" spans="3:12" ht="15" customHeight="1" x14ac:dyDescent="0.35">
      <c r="C72" s="19"/>
      <c r="D72" s="19"/>
      <c r="E72" s="19"/>
      <c r="F72" s="19"/>
      <c r="L72" s="20"/>
    </row>
    <row r="73" spans="3:12" ht="15" customHeight="1" x14ac:dyDescent="0.35">
      <c r="C73" s="19"/>
      <c r="D73" s="19"/>
      <c r="E73" s="19"/>
      <c r="F73" s="19"/>
      <c r="L73" s="20"/>
    </row>
    <row r="74" spans="3:12" ht="15" customHeight="1" x14ac:dyDescent="0.35">
      <c r="C74" s="19"/>
      <c r="D74" s="19"/>
      <c r="E74" s="19"/>
      <c r="F74" s="19"/>
      <c r="L74" s="20"/>
    </row>
    <row r="75" spans="3:12" ht="15" customHeight="1" x14ac:dyDescent="0.35">
      <c r="C75" s="19"/>
      <c r="D75" s="19"/>
      <c r="E75" s="19"/>
      <c r="F75" s="19"/>
      <c r="L75" s="20"/>
    </row>
    <row r="76" spans="3:12" ht="15" customHeight="1" x14ac:dyDescent="0.35">
      <c r="C76" s="19"/>
      <c r="D76" s="19"/>
      <c r="E76" s="19"/>
      <c r="F76" s="19"/>
      <c r="L76" s="20"/>
    </row>
    <row r="77" spans="3:12" ht="15" customHeight="1" x14ac:dyDescent="0.35">
      <c r="C77" s="19"/>
      <c r="D77" s="19"/>
      <c r="E77" s="19"/>
      <c r="F77" s="19"/>
      <c r="L77" s="20"/>
    </row>
    <row r="78" spans="3:12" ht="15" customHeight="1" x14ac:dyDescent="0.35">
      <c r="C78" s="19"/>
      <c r="D78" s="19"/>
      <c r="E78" s="19"/>
      <c r="F78" s="19"/>
      <c r="L78" s="20"/>
    </row>
    <row r="79" spans="3:12" ht="15" customHeight="1" x14ac:dyDescent="0.35">
      <c r="C79" s="19"/>
      <c r="D79" s="19"/>
      <c r="E79" s="19"/>
      <c r="F79" s="19"/>
      <c r="L79" s="20"/>
    </row>
    <row r="80" spans="3:12" ht="15" customHeight="1" x14ac:dyDescent="0.35">
      <c r="C80" s="19"/>
      <c r="D80" s="19"/>
      <c r="E80" s="19"/>
      <c r="F80" s="19"/>
      <c r="L80" s="20"/>
    </row>
    <row r="81" spans="3:12" ht="15" customHeight="1" x14ac:dyDescent="0.35">
      <c r="C81" s="19"/>
      <c r="D81" s="19"/>
      <c r="E81" s="19"/>
      <c r="F81" s="19"/>
      <c r="L81" s="20"/>
    </row>
    <row r="82" spans="3:12" ht="15" customHeight="1" x14ac:dyDescent="0.35">
      <c r="C82" s="19"/>
      <c r="D82" s="19"/>
      <c r="E82" s="19"/>
      <c r="F82" s="19"/>
      <c r="L82" s="20"/>
    </row>
    <row r="83" spans="3:12" ht="15" customHeight="1" x14ac:dyDescent="0.35">
      <c r="C83" s="19"/>
      <c r="D83" s="19"/>
      <c r="E83" s="19"/>
      <c r="F83" s="19"/>
      <c r="L83" s="20"/>
    </row>
    <row r="84" spans="3:12" ht="15" customHeight="1" x14ac:dyDescent="0.35">
      <c r="C84" s="19"/>
      <c r="D84" s="19"/>
      <c r="E84" s="19"/>
      <c r="F84" s="19"/>
      <c r="L84" s="20"/>
    </row>
    <row r="85" spans="3:12" ht="15" customHeight="1" x14ac:dyDescent="0.35">
      <c r="C85" s="19"/>
      <c r="D85" s="19"/>
      <c r="E85" s="19"/>
      <c r="F85" s="19"/>
      <c r="L85" s="20"/>
    </row>
    <row r="86" spans="3:12" ht="15" customHeight="1" x14ac:dyDescent="0.35">
      <c r="C86" s="19"/>
      <c r="D86" s="19"/>
      <c r="E86" s="19"/>
      <c r="F86" s="19"/>
      <c r="L86" s="20"/>
    </row>
    <row r="87" spans="3:12" ht="15" customHeight="1" x14ac:dyDescent="0.35">
      <c r="C87" s="19"/>
      <c r="D87" s="19"/>
      <c r="E87" s="19"/>
      <c r="F87" s="19"/>
      <c r="L87" s="20"/>
    </row>
    <row r="88" spans="3:12" ht="15" customHeight="1" x14ac:dyDescent="0.35">
      <c r="C88" s="19"/>
      <c r="D88" s="19"/>
      <c r="E88" s="19"/>
      <c r="F88" s="19"/>
      <c r="L88" s="20"/>
    </row>
    <row r="89" spans="3:12" ht="15" customHeight="1" x14ac:dyDescent="0.35">
      <c r="C89" s="19"/>
      <c r="D89" s="19"/>
      <c r="E89" s="19"/>
      <c r="F89" s="19"/>
      <c r="L89" s="20"/>
    </row>
    <row r="90" spans="3:12" ht="15" customHeight="1" x14ac:dyDescent="0.35">
      <c r="C90" s="19"/>
      <c r="D90" s="19"/>
      <c r="E90" s="19"/>
      <c r="F90" s="19"/>
      <c r="L90" s="20"/>
    </row>
    <row r="91" spans="3:12" ht="15" customHeight="1" x14ac:dyDescent="0.35">
      <c r="C91" s="19"/>
      <c r="D91" s="19"/>
      <c r="E91" s="19"/>
      <c r="F91" s="19"/>
      <c r="L91" s="20"/>
    </row>
    <row r="92" spans="3:12" ht="15" customHeight="1" x14ac:dyDescent="0.35">
      <c r="C92" s="19"/>
      <c r="D92" s="19"/>
      <c r="E92" s="19"/>
      <c r="F92" s="19"/>
      <c r="L92" s="20"/>
    </row>
    <row r="93" spans="3:12" ht="15" customHeight="1" x14ac:dyDescent="0.35">
      <c r="C93" s="19"/>
      <c r="D93" s="19"/>
      <c r="E93" s="19"/>
      <c r="F93" s="19"/>
      <c r="L93" s="20"/>
    </row>
    <row r="94" spans="3:12" ht="15" customHeight="1" x14ac:dyDescent="0.35">
      <c r="C94" s="19"/>
      <c r="D94" s="19"/>
      <c r="E94" s="19"/>
      <c r="F94" s="19"/>
      <c r="L94" s="20"/>
    </row>
    <row r="95" spans="3:12" ht="15" customHeight="1" x14ac:dyDescent="0.35">
      <c r="C95" s="19"/>
      <c r="D95" s="19"/>
      <c r="E95" s="19"/>
      <c r="F95" s="19"/>
      <c r="L95" s="20"/>
    </row>
    <row r="96" spans="3:12" ht="15" customHeight="1" x14ac:dyDescent="0.35">
      <c r="C96" s="19"/>
      <c r="D96" s="19"/>
      <c r="E96" s="19"/>
      <c r="F96" s="19"/>
      <c r="L96" s="20"/>
    </row>
    <row r="97" spans="3:12" ht="15" customHeight="1" x14ac:dyDescent="0.35">
      <c r="C97" s="19"/>
      <c r="D97" s="19"/>
      <c r="E97" s="19"/>
      <c r="F97" s="19"/>
      <c r="L97" s="20"/>
    </row>
    <row r="98" spans="3:12" ht="15" customHeight="1" x14ac:dyDescent="0.35">
      <c r="C98" s="19"/>
      <c r="D98" s="19"/>
      <c r="E98" s="19"/>
      <c r="F98" s="19"/>
      <c r="L98" s="20"/>
    </row>
    <row r="99" spans="3:12" ht="15" customHeight="1" x14ac:dyDescent="0.35">
      <c r="C99" s="19"/>
      <c r="D99" s="19"/>
      <c r="E99" s="19"/>
      <c r="F99" s="19"/>
      <c r="L99" s="20"/>
    </row>
    <row r="100" spans="3:12" ht="15" customHeight="1" x14ac:dyDescent="0.35">
      <c r="C100" s="19"/>
      <c r="D100" s="19"/>
      <c r="E100" s="19"/>
      <c r="F100" s="19"/>
      <c r="L100" s="20"/>
    </row>
    <row r="101" spans="3:12" ht="15" customHeight="1" x14ac:dyDescent="0.35">
      <c r="C101" s="19"/>
      <c r="D101" s="19"/>
      <c r="E101" s="19"/>
      <c r="F101" s="19"/>
      <c r="L101" s="20"/>
    </row>
    <row r="102" spans="3:12" ht="15" customHeight="1" x14ac:dyDescent="0.35">
      <c r="C102" s="19"/>
      <c r="D102" s="19"/>
      <c r="E102" s="19"/>
      <c r="F102" s="19"/>
      <c r="L102" s="20"/>
    </row>
    <row r="103" spans="3:12" ht="15" customHeight="1" x14ac:dyDescent="0.35">
      <c r="C103" s="19"/>
      <c r="D103" s="19"/>
      <c r="E103" s="19"/>
      <c r="F103" s="19"/>
      <c r="L103" s="20"/>
    </row>
    <row r="104" spans="3:12" ht="15" customHeight="1" x14ac:dyDescent="0.35">
      <c r="C104" s="19"/>
      <c r="D104" s="19"/>
      <c r="E104" s="19"/>
      <c r="F104" s="19"/>
      <c r="L104" s="20"/>
    </row>
    <row r="105" spans="3:12" ht="15" customHeight="1" x14ac:dyDescent="0.35">
      <c r="C105" s="19"/>
      <c r="D105" s="19"/>
      <c r="E105" s="19"/>
      <c r="F105" s="19"/>
      <c r="L105" s="20"/>
    </row>
    <row r="106" spans="3:12" ht="15" customHeight="1" x14ac:dyDescent="0.35">
      <c r="C106" s="19"/>
      <c r="D106" s="19"/>
      <c r="E106" s="19"/>
      <c r="F106" s="19"/>
      <c r="L106" s="20"/>
    </row>
    <row r="107" spans="3:12" ht="15" customHeight="1" x14ac:dyDescent="0.35">
      <c r="C107" s="19"/>
      <c r="D107" s="19"/>
      <c r="E107" s="19"/>
      <c r="F107" s="19"/>
      <c r="L107" s="20"/>
    </row>
    <row r="108" spans="3:12" ht="15" customHeight="1" x14ac:dyDescent="0.35">
      <c r="C108" s="19"/>
      <c r="D108" s="19"/>
      <c r="E108" s="19"/>
      <c r="F108" s="19"/>
      <c r="L108" s="20"/>
    </row>
    <row r="109" spans="3:12" ht="15" customHeight="1" x14ac:dyDescent="0.35">
      <c r="C109" s="19"/>
      <c r="D109" s="19"/>
      <c r="E109" s="19"/>
      <c r="F109" s="19"/>
      <c r="L109" s="20"/>
    </row>
    <row r="110" spans="3:12" ht="15" customHeight="1" x14ac:dyDescent="0.35">
      <c r="C110" s="19"/>
      <c r="D110" s="19"/>
      <c r="E110" s="19"/>
      <c r="F110" s="19"/>
      <c r="L110" s="20"/>
    </row>
    <row r="111" spans="3:12" ht="15" customHeight="1" x14ac:dyDescent="0.35">
      <c r="C111" s="19"/>
      <c r="D111" s="19"/>
      <c r="E111" s="19"/>
      <c r="F111" s="19"/>
      <c r="L111" s="20"/>
    </row>
    <row r="112" spans="3:12" ht="15" customHeight="1" x14ac:dyDescent="0.35">
      <c r="C112" s="19"/>
      <c r="D112" s="19"/>
      <c r="E112" s="19"/>
      <c r="F112" s="19"/>
      <c r="L112" s="20"/>
    </row>
    <row r="113" spans="3:12" ht="15" customHeight="1" x14ac:dyDescent="0.35">
      <c r="C113" s="19"/>
      <c r="D113" s="19"/>
      <c r="E113" s="19"/>
      <c r="F113" s="19"/>
      <c r="L113" s="20"/>
    </row>
    <row r="114" spans="3:12" ht="15" customHeight="1" x14ac:dyDescent="0.35">
      <c r="C114" s="19"/>
      <c r="D114" s="19"/>
      <c r="E114" s="19"/>
      <c r="F114" s="19"/>
      <c r="L114" s="20"/>
    </row>
    <row r="115" spans="3:12" ht="15" customHeight="1" x14ac:dyDescent="0.35">
      <c r="C115" s="19"/>
      <c r="D115" s="19"/>
      <c r="E115" s="19"/>
      <c r="F115" s="19"/>
      <c r="L115" s="20"/>
    </row>
    <row r="116" spans="3:12" ht="15" customHeight="1" x14ac:dyDescent="0.35">
      <c r="C116" s="19"/>
      <c r="D116" s="19"/>
      <c r="E116" s="19"/>
      <c r="F116" s="19"/>
      <c r="L116" s="20"/>
    </row>
    <row r="117" spans="3:12" ht="15" customHeight="1" x14ac:dyDescent="0.35">
      <c r="C117" s="19"/>
      <c r="D117" s="19"/>
      <c r="E117" s="19"/>
      <c r="F117" s="19"/>
      <c r="L117" s="20"/>
    </row>
    <row r="118" spans="3:12" ht="15" customHeight="1" x14ac:dyDescent="0.35">
      <c r="C118" s="19"/>
      <c r="D118" s="19"/>
      <c r="E118" s="19"/>
      <c r="F118" s="19"/>
      <c r="L118" s="20"/>
    </row>
    <row r="119" spans="3:12" ht="15" customHeight="1" x14ac:dyDescent="0.35">
      <c r="C119" s="19"/>
      <c r="D119" s="19"/>
      <c r="E119" s="19"/>
      <c r="F119" s="19"/>
      <c r="L119" s="20"/>
    </row>
    <row r="120" spans="3:12" ht="15" customHeight="1" x14ac:dyDescent="0.35">
      <c r="C120" s="19"/>
      <c r="D120" s="19"/>
      <c r="E120" s="19"/>
      <c r="F120" s="19"/>
      <c r="L120" s="20"/>
    </row>
    <row r="121" spans="3:12" ht="15" customHeight="1" x14ac:dyDescent="0.35">
      <c r="C121" s="19"/>
      <c r="D121" s="19"/>
      <c r="E121" s="19"/>
      <c r="F121" s="19"/>
      <c r="L121" s="20"/>
    </row>
    <row r="122" spans="3:12" ht="15" customHeight="1" x14ac:dyDescent="0.35">
      <c r="C122" s="19"/>
      <c r="D122" s="19"/>
      <c r="E122" s="19"/>
      <c r="F122" s="19"/>
      <c r="L122" s="20"/>
    </row>
    <row r="123" spans="3:12" ht="15" customHeight="1" x14ac:dyDescent="0.35">
      <c r="C123" s="19"/>
      <c r="D123" s="19"/>
      <c r="E123" s="19"/>
      <c r="F123" s="19"/>
      <c r="L123" s="20"/>
    </row>
    <row r="124" spans="3:12" ht="15" customHeight="1" x14ac:dyDescent="0.35">
      <c r="C124" s="19"/>
      <c r="D124" s="19"/>
      <c r="E124" s="19"/>
      <c r="F124" s="19"/>
      <c r="L124" s="20"/>
    </row>
    <row r="125" spans="3:12" ht="15" customHeight="1" x14ac:dyDescent="0.35">
      <c r="C125" s="19"/>
      <c r="D125" s="19"/>
      <c r="E125" s="19"/>
      <c r="F125" s="19"/>
      <c r="L125" s="20"/>
    </row>
    <row r="126" spans="3:12" ht="15" customHeight="1" x14ac:dyDescent="0.35">
      <c r="C126" s="19"/>
      <c r="D126" s="19"/>
      <c r="E126" s="19"/>
      <c r="F126" s="19"/>
      <c r="L126" s="20"/>
    </row>
    <row r="127" spans="3:12" ht="15" customHeight="1" x14ac:dyDescent="0.35">
      <c r="C127" s="19"/>
      <c r="D127" s="19"/>
      <c r="E127" s="19"/>
      <c r="F127" s="19"/>
      <c r="L127" s="20"/>
    </row>
    <row r="128" spans="3:12" ht="15" customHeight="1" x14ac:dyDescent="0.35">
      <c r="C128" s="19"/>
      <c r="D128" s="19"/>
      <c r="E128" s="19"/>
      <c r="F128" s="19"/>
      <c r="L128" s="20"/>
    </row>
    <row r="129" spans="3:12" ht="15" customHeight="1" x14ac:dyDescent="0.35">
      <c r="C129" s="19"/>
      <c r="D129" s="19"/>
      <c r="E129" s="19"/>
      <c r="F129" s="19"/>
      <c r="L129" s="20"/>
    </row>
    <row r="130" spans="3:12" ht="15" customHeight="1" x14ac:dyDescent="0.35">
      <c r="C130" s="19"/>
      <c r="D130" s="19"/>
      <c r="E130" s="19"/>
      <c r="F130" s="19"/>
      <c r="L130" s="20"/>
    </row>
    <row r="131" spans="3:12" ht="15" customHeight="1" x14ac:dyDescent="0.35">
      <c r="C131" s="19"/>
      <c r="D131" s="19"/>
      <c r="E131" s="19"/>
      <c r="F131" s="19"/>
      <c r="L131" s="20"/>
    </row>
    <row r="132" spans="3:12" ht="15" customHeight="1" x14ac:dyDescent="0.35">
      <c r="C132" s="19"/>
      <c r="D132" s="19"/>
      <c r="E132" s="19"/>
      <c r="F132" s="19"/>
      <c r="L132" s="20"/>
    </row>
    <row r="133" spans="3:12" ht="15" customHeight="1" x14ac:dyDescent="0.35">
      <c r="C133" s="19"/>
      <c r="D133" s="19"/>
      <c r="E133" s="19"/>
      <c r="F133" s="19"/>
      <c r="L133" s="20"/>
    </row>
    <row r="134" spans="3:12" ht="15" customHeight="1" x14ac:dyDescent="0.35">
      <c r="C134" s="19"/>
      <c r="D134" s="19"/>
      <c r="E134" s="19"/>
      <c r="F134" s="19"/>
      <c r="L134" s="20"/>
    </row>
    <row r="135" spans="3:12" ht="15" customHeight="1" x14ac:dyDescent="0.35">
      <c r="C135" s="19"/>
      <c r="D135" s="19"/>
      <c r="E135" s="19"/>
      <c r="F135" s="19"/>
      <c r="L135" s="20"/>
    </row>
    <row r="136" spans="3:12" ht="15" customHeight="1" x14ac:dyDescent="0.35">
      <c r="C136" s="19"/>
      <c r="D136" s="19"/>
      <c r="E136" s="19"/>
      <c r="F136" s="19"/>
      <c r="L136" s="20"/>
    </row>
    <row r="137" spans="3:12" ht="15" customHeight="1" x14ac:dyDescent="0.35">
      <c r="C137" s="19"/>
      <c r="D137" s="19"/>
      <c r="E137" s="19"/>
      <c r="F137" s="19"/>
      <c r="L137" s="20"/>
    </row>
    <row r="138" spans="3:12" ht="15" customHeight="1" x14ac:dyDescent="0.35">
      <c r="C138" s="19"/>
      <c r="D138" s="19"/>
      <c r="E138" s="19"/>
      <c r="F138" s="19"/>
      <c r="L138" s="20"/>
    </row>
    <row r="139" spans="3:12" ht="15" customHeight="1" x14ac:dyDescent="0.35">
      <c r="C139" s="19"/>
      <c r="D139" s="19"/>
      <c r="E139" s="19"/>
      <c r="F139" s="19"/>
      <c r="L139" s="20"/>
    </row>
    <row r="140" spans="3:12" ht="15" customHeight="1" x14ac:dyDescent="0.35">
      <c r="C140" s="19"/>
      <c r="D140" s="19"/>
      <c r="E140" s="19"/>
      <c r="F140" s="19"/>
      <c r="L140" s="20"/>
    </row>
    <row r="141" spans="3:12" ht="15" customHeight="1" x14ac:dyDescent="0.35">
      <c r="C141" s="19"/>
      <c r="D141" s="19"/>
      <c r="E141" s="19"/>
      <c r="F141" s="19"/>
      <c r="L141" s="20"/>
    </row>
    <row r="142" spans="3:12" ht="15" customHeight="1" x14ac:dyDescent="0.35">
      <c r="C142" s="19"/>
      <c r="D142" s="19"/>
      <c r="E142" s="19"/>
      <c r="F142" s="19"/>
      <c r="L142" s="20"/>
    </row>
    <row r="143" spans="3:12" ht="15" customHeight="1" x14ac:dyDescent="0.35">
      <c r="C143" s="19"/>
      <c r="D143" s="19"/>
      <c r="E143" s="19"/>
      <c r="F143" s="19"/>
      <c r="L143" s="20"/>
    </row>
    <row r="144" spans="3:12" ht="15" customHeight="1" x14ac:dyDescent="0.35">
      <c r="C144" s="19"/>
      <c r="D144" s="19"/>
      <c r="E144" s="19"/>
      <c r="F144" s="19"/>
      <c r="L144" s="20"/>
    </row>
    <row r="145" spans="3:12" ht="15" customHeight="1" x14ac:dyDescent="0.35">
      <c r="C145" s="19"/>
      <c r="D145" s="19"/>
      <c r="E145" s="19"/>
      <c r="F145" s="19"/>
      <c r="L145" s="20"/>
    </row>
    <row r="146" spans="3:12" ht="15" customHeight="1" x14ac:dyDescent="0.35">
      <c r="C146" s="19"/>
      <c r="D146" s="19"/>
      <c r="E146" s="19"/>
      <c r="F146" s="19"/>
      <c r="L146" s="20"/>
    </row>
    <row r="147" spans="3:12" ht="15" customHeight="1" x14ac:dyDescent="0.35">
      <c r="C147" s="19"/>
      <c r="D147" s="19"/>
      <c r="E147" s="19"/>
      <c r="F147" s="19"/>
      <c r="L147" s="20"/>
    </row>
    <row r="148" spans="3:12" ht="15" customHeight="1" x14ac:dyDescent="0.35">
      <c r="C148" s="19"/>
      <c r="D148" s="19"/>
      <c r="E148" s="19"/>
      <c r="F148" s="19"/>
      <c r="L148" s="20"/>
    </row>
    <row r="149" spans="3:12" ht="15" customHeight="1" x14ac:dyDescent="0.35">
      <c r="C149" s="19"/>
      <c r="D149" s="19"/>
      <c r="E149" s="19"/>
      <c r="F149" s="19"/>
      <c r="L149" s="20"/>
    </row>
    <row r="150" spans="3:12" ht="15" customHeight="1" x14ac:dyDescent="0.35">
      <c r="C150" s="19"/>
      <c r="D150" s="19"/>
      <c r="E150" s="19"/>
      <c r="F150" s="19"/>
      <c r="L150" s="20"/>
    </row>
    <row r="151" spans="3:12" ht="15" customHeight="1" x14ac:dyDescent="0.35">
      <c r="C151" s="19"/>
      <c r="D151" s="19"/>
      <c r="E151" s="19"/>
      <c r="F151" s="19"/>
      <c r="L151" s="20"/>
    </row>
    <row r="152" spans="3:12" ht="15" customHeight="1" x14ac:dyDescent="0.35">
      <c r="C152" s="19"/>
      <c r="D152" s="19"/>
      <c r="E152" s="19"/>
      <c r="F152" s="19"/>
      <c r="L152" s="20" t="str">
        <f t="shared" ref="L152:L198" si="11">IF(OR($C152="",$D152="",$E152="",$F152=""),"",IFERROR(INDEX(MASTERFLAT_PRICE,MATCH($C152&amp;"|"&amp;$D152&amp;"|"&amp;$E152&amp;"|"&amp;$F152,MASTERFLAT_KEY,0)),"Check Master List"))</f>
        <v/>
      </c>
    </row>
    <row r="153" spans="3:12" ht="15" customHeight="1" x14ac:dyDescent="0.35">
      <c r="C153" s="19"/>
      <c r="D153" s="19"/>
      <c r="E153" s="19"/>
      <c r="F153" s="19"/>
      <c r="L153" s="20" t="str">
        <f t="shared" si="11"/>
        <v/>
      </c>
    </row>
    <row r="154" spans="3:12" ht="15" customHeight="1" x14ac:dyDescent="0.35">
      <c r="C154" s="19"/>
      <c r="D154" s="19"/>
      <c r="E154" s="19"/>
      <c r="F154" s="19"/>
      <c r="L154" s="20" t="str">
        <f t="shared" si="11"/>
        <v/>
      </c>
    </row>
    <row r="155" spans="3:12" ht="15" customHeight="1" x14ac:dyDescent="0.35">
      <c r="C155" s="19"/>
      <c r="D155" s="19"/>
      <c r="E155" s="19"/>
      <c r="F155" s="19"/>
      <c r="L155" s="20" t="str">
        <f t="shared" si="11"/>
        <v/>
      </c>
    </row>
    <row r="156" spans="3:12" ht="15" customHeight="1" x14ac:dyDescent="0.35">
      <c r="C156" s="19"/>
      <c r="D156" s="19"/>
      <c r="E156" s="19"/>
      <c r="F156" s="19"/>
      <c r="L156" s="20" t="str">
        <f t="shared" si="11"/>
        <v/>
      </c>
    </row>
    <row r="157" spans="3:12" ht="15" customHeight="1" x14ac:dyDescent="0.35">
      <c r="C157" s="19"/>
      <c r="D157" s="19"/>
      <c r="E157" s="19"/>
      <c r="F157" s="19"/>
      <c r="L157" s="20" t="str">
        <f t="shared" si="11"/>
        <v/>
      </c>
    </row>
    <row r="158" spans="3:12" ht="15" customHeight="1" x14ac:dyDescent="0.35">
      <c r="C158" s="19"/>
      <c r="D158" s="19"/>
      <c r="E158" s="19"/>
      <c r="F158" s="19"/>
      <c r="L158" s="20" t="str">
        <f t="shared" si="11"/>
        <v/>
      </c>
    </row>
    <row r="159" spans="3:12" ht="15" customHeight="1" x14ac:dyDescent="0.35">
      <c r="C159" s="19"/>
      <c r="D159" s="19"/>
      <c r="E159" s="19"/>
      <c r="F159" s="19"/>
      <c r="L159" s="20" t="str">
        <f t="shared" si="11"/>
        <v/>
      </c>
    </row>
    <row r="160" spans="3:12" ht="15" customHeight="1" x14ac:dyDescent="0.35">
      <c r="C160" s="19"/>
      <c r="D160" s="19"/>
      <c r="E160" s="19"/>
      <c r="F160" s="19"/>
      <c r="L160" s="20" t="str">
        <f t="shared" si="11"/>
        <v/>
      </c>
    </row>
    <row r="161" spans="3:12" ht="15" customHeight="1" x14ac:dyDescent="0.35">
      <c r="C161" s="19"/>
      <c r="D161" s="19"/>
      <c r="E161" s="19"/>
      <c r="F161" s="19"/>
      <c r="L161" s="20" t="str">
        <f t="shared" si="11"/>
        <v/>
      </c>
    </row>
    <row r="162" spans="3:12" ht="15" customHeight="1" x14ac:dyDescent="0.35">
      <c r="C162" s="19"/>
      <c r="D162" s="19"/>
      <c r="E162" s="19"/>
      <c r="F162" s="19"/>
      <c r="L162" s="20" t="str">
        <f t="shared" si="11"/>
        <v/>
      </c>
    </row>
    <row r="163" spans="3:12" ht="15" customHeight="1" x14ac:dyDescent="0.35">
      <c r="C163" s="19"/>
      <c r="D163" s="19"/>
      <c r="E163" s="19"/>
      <c r="F163" s="19"/>
      <c r="L163" s="20" t="str">
        <f t="shared" si="11"/>
        <v/>
      </c>
    </row>
    <row r="164" spans="3:12" ht="15" customHeight="1" x14ac:dyDescent="0.35">
      <c r="C164" s="19"/>
      <c r="D164" s="19"/>
      <c r="E164" s="19"/>
      <c r="F164" s="19"/>
      <c r="L164" s="20" t="str">
        <f t="shared" si="11"/>
        <v/>
      </c>
    </row>
    <row r="165" spans="3:12" ht="15" customHeight="1" x14ac:dyDescent="0.35">
      <c r="C165" s="19"/>
      <c r="D165" s="19"/>
      <c r="E165" s="19"/>
      <c r="F165" s="19"/>
      <c r="L165" s="20" t="str">
        <f t="shared" si="11"/>
        <v/>
      </c>
    </row>
    <row r="166" spans="3:12" ht="15" customHeight="1" x14ac:dyDescent="0.35">
      <c r="C166" s="19"/>
      <c r="D166" s="19"/>
      <c r="E166" s="19"/>
      <c r="F166" s="19"/>
      <c r="L166" s="20" t="str">
        <f t="shared" si="11"/>
        <v/>
      </c>
    </row>
    <row r="167" spans="3:12" ht="15" customHeight="1" x14ac:dyDescent="0.35">
      <c r="C167" s="19"/>
      <c r="D167" s="19"/>
      <c r="E167" s="19"/>
      <c r="F167" s="19"/>
      <c r="L167" s="20" t="str">
        <f t="shared" si="11"/>
        <v/>
      </c>
    </row>
    <row r="168" spans="3:12" ht="15" customHeight="1" x14ac:dyDescent="0.35">
      <c r="C168" s="19"/>
      <c r="D168" s="19"/>
      <c r="E168" s="19"/>
      <c r="F168" s="19"/>
      <c r="L168" s="20" t="str">
        <f t="shared" si="11"/>
        <v/>
      </c>
    </row>
    <row r="169" spans="3:12" ht="15" customHeight="1" x14ac:dyDescent="0.35">
      <c r="C169" s="19"/>
      <c r="D169" s="19"/>
      <c r="E169" s="19"/>
      <c r="F169" s="19"/>
      <c r="L169" s="20" t="str">
        <f t="shared" si="11"/>
        <v/>
      </c>
    </row>
    <row r="170" spans="3:12" ht="15" customHeight="1" x14ac:dyDescent="0.35">
      <c r="C170" s="19"/>
      <c r="D170" s="19"/>
      <c r="E170" s="19"/>
      <c r="F170" s="19"/>
      <c r="L170" s="20" t="str">
        <f t="shared" si="11"/>
        <v/>
      </c>
    </row>
    <row r="171" spans="3:12" ht="15" customHeight="1" x14ac:dyDescent="0.35">
      <c r="C171" s="19"/>
      <c r="D171" s="19"/>
      <c r="E171" s="19"/>
      <c r="F171" s="19"/>
      <c r="L171" s="20" t="str">
        <f t="shared" si="11"/>
        <v/>
      </c>
    </row>
    <row r="172" spans="3:12" ht="15" customHeight="1" x14ac:dyDescent="0.35">
      <c r="C172" s="19"/>
      <c r="D172" s="19"/>
      <c r="E172" s="19"/>
      <c r="F172" s="19"/>
      <c r="L172" s="20" t="str">
        <f t="shared" si="11"/>
        <v/>
      </c>
    </row>
    <row r="173" spans="3:12" ht="15" customHeight="1" x14ac:dyDescent="0.35">
      <c r="C173" s="19"/>
      <c r="D173" s="19"/>
      <c r="E173" s="19"/>
      <c r="F173" s="19"/>
      <c r="L173" s="20" t="str">
        <f t="shared" si="11"/>
        <v/>
      </c>
    </row>
    <row r="174" spans="3:12" ht="15" customHeight="1" x14ac:dyDescent="0.35">
      <c r="C174" s="19"/>
      <c r="D174" s="19"/>
      <c r="E174" s="19"/>
      <c r="F174" s="19"/>
      <c r="L174" s="20" t="str">
        <f t="shared" si="11"/>
        <v/>
      </c>
    </row>
    <row r="175" spans="3:12" ht="15" customHeight="1" x14ac:dyDescent="0.35">
      <c r="C175" s="19"/>
      <c r="D175" s="19"/>
      <c r="E175" s="19"/>
      <c r="F175" s="19"/>
      <c r="L175" s="20" t="str">
        <f t="shared" si="11"/>
        <v/>
      </c>
    </row>
    <row r="176" spans="3:12" ht="15" customHeight="1" x14ac:dyDescent="0.35">
      <c r="C176" s="19"/>
      <c r="D176" s="19"/>
      <c r="E176" s="19"/>
      <c r="F176" s="19"/>
      <c r="L176" s="20" t="str">
        <f t="shared" si="11"/>
        <v/>
      </c>
    </row>
    <row r="177" spans="3:12" ht="15" customHeight="1" x14ac:dyDescent="0.35">
      <c r="C177" s="19"/>
      <c r="D177" s="19"/>
      <c r="E177" s="19"/>
      <c r="F177" s="19"/>
      <c r="L177" s="20" t="str">
        <f t="shared" si="11"/>
        <v/>
      </c>
    </row>
    <row r="178" spans="3:12" ht="15" customHeight="1" x14ac:dyDescent="0.35">
      <c r="C178" s="19"/>
      <c r="D178" s="19"/>
      <c r="E178" s="19"/>
      <c r="F178" s="19"/>
      <c r="L178" s="20" t="str">
        <f t="shared" si="11"/>
        <v/>
      </c>
    </row>
    <row r="179" spans="3:12" ht="15" customHeight="1" x14ac:dyDescent="0.35">
      <c r="C179" s="19"/>
      <c r="D179" s="19"/>
      <c r="E179" s="19"/>
      <c r="F179" s="19"/>
      <c r="L179" s="20" t="str">
        <f t="shared" si="11"/>
        <v/>
      </c>
    </row>
    <row r="180" spans="3:12" ht="15" customHeight="1" x14ac:dyDescent="0.35">
      <c r="C180" s="19"/>
      <c r="D180" s="19"/>
      <c r="E180" s="19"/>
      <c r="F180" s="19"/>
      <c r="L180" s="20" t="str">
        <f t="shared" si="11"/>
        <v/>
      </c>
    </row>
    <row r="181" spans="3:12" ht="15" customHeight="1" x14ac:dyDescent="0.35">
      <c r="C181" s="19"/>
      <c r="D181" s="19"/>
      <c r="E181" s="19"/>
      <c r="F181" s="19"/>
      <c r="L181" s="20" t="str">
        <f t="shared" si="11"/>
        <v/>
      </c>
    </row>
    <row r="182" spans="3:12" ht="15" customHeight="1" x14ac:dyDescent="0.35">
      <c r="C182" s="19"/>
      <c r="D182" s="19"/>
      <c r="E182" s="19"/>
      <c r="F182" s="19"/>
      <c r="L182" s="20" t="str">
        <f t="shared" si="11"/>
        <v/>
      </c>
    </row>
    <row r="183" spans="3:12" ht="15" customHeight="1" x14ac:dyDescent="0.35">
      <c r="C183" s="19"/>
      <c r="D183" s="19"/>
      <c r="E183" s="19"/>
      <c r="F183" s="19"/>
      <c r="L183" s="20" t="str">
        <f t="shared" si="11"/>
        <v/>
      </c>
    </row>
    <row r="184" spans="3:12" ht="15" customHeight="1" x14ac:dyDescent="0.35">
      <c r="C184" s="19"/>
      <c r="D184" s="19"/>
      <c r="E184" s="19"/>
      <c r="F184" s="19"/>
      <c r="L184" s="20" t="str">
        <f t="shared" si="11"/>
        <v/>
      </c>
    </row>
    <row r="185" spans="3:12" ht="15" customHeight="1" x14ac:dyDescent="0.35">
      <c r="C185" s="19"/>
      <c r="D185" s="19"/>
      <c r="E185" s="19"/>
      <c r="F185" s="19"/>
      <c r="L185" s="20" t="str">
        <f t="shared" si="11"/>
        <v/>
      </c>
    </row>
    <row r="186" spans="3:12" ht="15" customHeight="1" x14ac:dyDescent="0.35">
      <c r="C186" s="19"/>
      <c r="D186" s="19"/>
      <c r="E186" s="19"/>
      <c r="F186" s="19"/>
      <c r="L186" s="20" t="str">
        <f t="shared" si="11"/>
        <v/>
      </c>
    </row>
    <row r="187" spans="3:12" ht="15" customHeight="1" x14ac:dyDescent="0.35">
      <c r="C187" s="19"/>
      <c r="D187" s="19"/>
      <c r="E187" s="19"/>
      <c r="F187" s="19"/>
      <c r="L187" s="20" t="str">
        <f t="shared" si="11"/>
        <v/>
      </c>
    </row>
    <row r="188" spans="3:12" ht="15" customHeight="1" x14ac:dyDescent="0.35">
      <c r="C188" s="19"/>
      <c r="D188" s="19"/>
      <c r="E188" s="19"/>
      <c r="F188" s="19"/>
      <c r="L188" s="20" t="str">
        <f t="shared" si="11"/>
        <v/>
      </c>
    </row>
    <row r="189" spans="3:12" ht="15" customHeight="1" x14ac:dyDescent="0.35">
      <c r="C189" s="19"/>
      <c r="D189" s="19"/>
      <c r="E189" s="19"/>
      <c r="F189" s="19"/>
      <c r="L189" s="20" t="str">
        <f t="shared" si="11"/>
        <v/>
      </c>
    </row>
    <row r="190" spans="3:12" ht="15" customHeight="1" x14ac:dyDescent="0.35">
      <c r="C190" s="19"/>
      <c r="D190" s="19"/>
      <c r="E190" s="19"/>
      <c r="F190" s="19"/>
      <c r="L190" s="20" t="str">
        <f t="shared" si="11"/>
        <v/>
      </c>
    </row>
    <row r="191" spans="3:12" ht="15" customHeight="1" x14ac:dyDescent="0.35">
      <c r="C191" s="19"/>
      <c r="D191" s="19"/>
      <c r="E191" s="19"/>
      <c r="F191" s="19"/>
      <c r="L191" s="20" t="str">
        <f t="shared" si="11"/>
        <v/>
      </c>
    </row>
    <row r="192" spans="3:12" ht="15" customHeight="1" x14ac:dyDescent="0.35">
      <c r="C192" s="19"/>
      <c r="D192" s="19"/>
      <c r="E192" s="19"/>
      <c r="F192" s="19"/>
      <c r="L192" s="20" t="str">
        <f t="shared" si="11"/>
        <v/>
      </c>
    </row>
    <row r="193" spans="3:12" ht="15" customHeight="1" x14ac:dyDescent="0.35">
      <c r="C193" s="19"/>
      <c r="D193" s="19"/>
      <c r="E193" s="19"/>
      <c r="F193" s="19"/>
      <c r="L193" s="20" t="str">
        <f t="shared" si="11"/>
        <v/>
      </c>
    </row>
    <row r="194" spans="3:12" ht="15" customHeight="1" x14ac:dyDescent="0.35">
      <c r="C194" s="19"/>
      <c r="D194" s="19"/>
      <c r="E194" s="19"/>
      <c r="F194" s="19"/>
      <c r="L194" s="20" t="str">
        <f t="shared" si="11"/>
        <v/>
      </c>
    </row>
    <row r="195" spans="3:12" ht="15" customHeight="1" x14ac:dyDescent="0.35">
      <c r="C195" s="19"/>
      <c r="D195" s="19"/>
      <c r="E195" s="19"/>
      <c r="F195" s="19"/>
      <c r="L195" s="20" t="str">
        <f t="shared" si="11"/>
        <v/>
      </c>
    </row>
    <row r="196" spans="3:12" ht="15" customHeight="1" x14ac:dyDescent="0.35">
      <c r="C196" s="19"/>
      <c r="D196" s="19"/>
      <c r="E196" s="19"/>
      <c r="F196" s="19"/>
      <c r="L196" s="20" t="str">
        <f t="shared" si="11"/>
        <v/>
      </c>
    </row>
    <row r="197" spans="3:12" ht="15" customHeight="1" x14ac:dyDescent="0.35">
      <c r="C197" s="19"/>
      <c r="D197" s="19"/>
      <c r="E197" s="19"/>
      <c r="F197" s="19"/>
      <c r="L197" s="20" t="str">
        <f t="shared" si="11"/>
        <v/>
      </c>
    </row>
    <row r="198" spans="3:12" ht="15" customHeight="1" x14ac:dyDescent="0.35">
      <c r="C198" s="19"/>
      <c r="D198" s="19"/>
      <c r="E198" s="19"/>
      <c r="F198" s="19"/>
      <c r="L198" s="20" t="str">
        <f t="shared" si="11"/>
        <v/>
      </c>
    </row>
    <row r="199" spans="3:12" ht="15" customHeight="1" x14ac:dyDescent="0.35">
      <c r="C199" s="19"/>
      <c r="D199" s="19"/>
      <c r="E199" s="19"/>
      <c r="F199" s="19"/>
      <c r="L199" s="20" t="str">
        <f t="shared" ref="L199:L262" si="12">IF(OR($C199="",$D199="",$E199="",$F199=""),"",IFERROR(INDEX(MASTERFLAT_PRICE,MATCH($C199&amp;"|"&amp;$D199&amp;"|"&amp;$E199&amp;"|"&amp;$F199,MASTERFLAT_KEY,0)),"Check Master List"))</f>
        <v/>
      </c>
    </row>
    <row r="200" spans="3:12" ht="15" customHeight="1" x14ac:dyDescent="0.35">
      <c r="C200" s="19"/>
      <c r="D200" s="19"/>
      <c r="E200" s="19"/>
      <c r="F200" s="19"/>
      <c r="L200" s="20" t="str">
        <f t="shared" si="12"/>
        <v/>
      </c>
    </row>
    <row r="201" spans="3:12" ht="15" customHeight="1" x14ac:dyDescent="0.35">
      <c r="C201" s="19"/>
      <c r="D201" s="19"/>
      <c r="E201" s="19"/>
      <c r="F201" s="19"/>
      <c r="L201" s="20" t="str">
        <f t="shared" si="12"/>
        <v/>
      </c>
    </row>
    <row r="202" spans="3:12" ht="15" customHeight="1" x14ac:dyDescent="0.35">
      <c r="C202" s="19"/>
      <c r="D202" s="19"/>
      <c r="E202" s="19"/>
      <c r="F202" s="19"/>
      <c r="L202" s="20" t="str">
        <f t="shared" si="12"/>
        <v/>
      </c>
    </row>
    <row r="203" spans="3:12" ht="15" customHeight="1" x14ac:dyDescent="0.35">
      <c r="C203" s="19"/>
      <c r="D203" s="19"/>
      <c r="E203" s="19"/>
      <c r="F203" s="19"/>
      <c r="L203" s="20" t="str">
        <f t="shared" si="12"/>
        <v/>
      </c>
    </row>
    <row r="204" spans="3:12" ht="15" customHeight="1" x14ac:dyDescent="0.35">
      <c r="C204" s="19"/>
      <c r="D204" s="19"/>
      <c r="E204" s="19"/>
      <c r="F204" s="19"/>
      <c r="L204" s="20" t="str">
        <f t="shared" si="12"/>
        <v/>
      </c>
    </row>
    <row r="205" spans="3:12" ht="15" customHeight="1" x14ac:dyDescent="0.35">
      <c r="C205" s="19"/>
      <c r="D205" s="19"/>
      <c r="E205" s="19"/>
      <c r="F205" s="19"/>
      <c r="L205" s="20" t="str">
        <f t="shared" si="12"/>
        <v/>
      </c>
    </row>
    <row r="206" spans="3:12" ht="15" customHeight="1" x14ac:dyDescent="0.35">
      <c r="C206" s="19"/>
      <c r="D206" s="19"/>
      <c r="E206" s="19"/>
      <c r="F206" s="19"/>
      <c r="L206" s="20" t="str">
        <f t="shared" si="12"/>
        <v/>
      </c>
    </row>
    <row r="207" spans="3:12" ht="15" customHeight="1" x14ac:dyDescent="0.35">
      <c r="C207" s="19"/>
      <c r="D207" s="19"/>
      <c r="E207" s="19"/>
      <c r="F207" s="19"/>
      <c r="L207" s="20" t="str">
        <f t="shared" si="12"/>
        <v/>
      </c>
    </row>
    <row r="208" spans="3:12" ht="15" customHeight="1" x14ac:dyDescent="0.35">
      <c r="C208" s="19"/>
      <c r="D208" s="19"/>
      <c r="E208" s="19"/>
      <c r="F208" s="19"/>
      <c r="L208" s="20" t="str">
        <f t="shared" si="12"/>
        <v/>
      </c>
    </row>
    <row r="209" spans="3:12" ht="15" customHeight="1" x14ac:dyDescent="0.35">
      <c r="C209" s="19"/>
      <c r="D209" s="19"/>
      <c r="E209" s="19"/>
      <c r="F209" s="19"/>
      <c r="L209" s="20" t="str">
        <f t="shared" si="12"/>
        <v/>
      </c>
    </row>
    <row r="210" spans="3:12" ht="15" customHeight="1" x14ac:dyDescent="0.35">
      <c r="C210" s="19"/>
      <c r="D210" s="19"/>
      <c r="E210" s="19"/>
      <c r="F210" s="19"/>
      <c r="L210" s="20" t="str">
        <f t="shared" si="12"/>
        <v/>
      </c>
    </row>
    <row r="211" spans="3:12" ht="15" customHeight="1" x14ac:dyDescent="0.35">
      <c r="C211" s="19"/>
      <c r="D211" s="19"/>
      <c r="E211" s="19"/>
      <c r="F211" s="19"/>
      <c r="L211" s="20" t="str">
        <f t="shared" si="12"/>
        <v/>
      </c>
    </row>
    <row r="212" spans="3:12" ht="15" customHeight="1" x14ac:dyDescent="0.35">
      <c r="C212" s="19"/>
      <c r="D212" s="19"/>
      <c r="E212" s="19"/>
      <c r="F212" s="19"/>
      <c r="L212" s="20" t="str">
        <f t="shared" si="12"/>
        <v/>
      </c>
    </row>
    <row r="213" spans="3:12" ht="15" customHeight="1" x14ac:dyDescent="0.35">
      <c r="C213" s="19"/>
      <c r="D213" s="19"/>
      <c r="E213" s="19"/>
      <c r="F213" s="19"/>
      <c r="L213" s="20" t="str">
        <f t="shared" si="12"/>
        <v/>
      </c>
    </row>
    <row r="214" spans="3:12" ht="15" customHeight="1" x14ac:dyDescent="0.35">
      <c r="C214" s="19"/>
      <c r="D214" s="19"/>
      <c r="E214" s="19"/>
      <c r="F214" s="19"/>
      <c r="L214" s="20" t="str">
        <f t="shared" si="12"/>
        <v/>
      </c>
    </row>
    <row r="215" spans="3:12" ht="15" customHeight="1" x14ac:dyDescent="0.35">
      <c r="C215" s="19"/>
      <c r="D215" s="19"/>
      <c r="E215" s="19"/>
      <c r="F215" s="19"/>
      <c r="L215" s="20" t="str">
        <f t="shared" si="12"/>
        <v/>
      </c>
    </row>
    <row r="216" spans="3:12" ht="15" customHeight="1" x14ac:dyDescent="0.35">
      <c r="C216" s="19"/>
      <c r="D216" s="19"/>
      <c r="E216" s="19"/>
      <c r="F216" s="19"/>
      <c r="L216" s="20" t="str">
        <f t="shared" si="12"/>
        <v/>
      </c>
    </row>
    <row r="217" spans="3:12" ht="15" customHeight="1" x14ac:dyDescent="0.35">
      <c r="C217" s="19"/>
      <c r="D217" s="19"/>
      <c r="E217" s="19"/>
      <c r="F217" s="19"/>
      <c r="L217" s="20" t="str">
        <f t="shared" si="12"/>
        <v/>
      </c>
    </row>
    <row r="218" spans="3:12" ht="15" customHeight="1" x14ac:dyDescent="0.35">
      <c r="C218" s="19"/>
      <c r="D218" s="19"/>
      <c r="E218" s="19"/>
      <c r="F218" s="19"/>
      <c r="L218" s="20" t="str">
        <f t="shared" si="12"/>
        <v/>
      </c>
    </row>
    <row r="219" spans="3:12" ht="15" customHeight="1" x14ac:dyDescent="0.35">
      <c r="C219" s="19"/>
      <c r="D219" s="19"/>
      <c r="E219" s="19"/>
      <c r="F219" s="19"/>
      <c r="L219" s="20" t="str">
        <f t="shared" si="12"/>
        <v/>
      </c>
    </row>
    <row r="220" spans="3:12" ht="15" customHeight="1" x14ac:dyDescent="0.35">
      <c r="C220" s="19"/>
      <c r="D220" s="19"/>
      <c r="E220" s="19"/>
      <c r="F220" s="19"/>
      <c r="L220" s="20" t="str">
        <f t="shared" si="12"/>
        <v/>
      </c>
    </row>
    <row r="221" spans="3:12" ht="15" customHeight="1" x14ac:dyDescent="0.35">
      <c r="C221" s="19"/>
      <c r="D221" s="19"/>
      <c r="E221" s="19"/>
      <c r="F221" s="19"/>
      <c r="L221" s="20" t="str">
        <f t="shared" si="12"/>
        <v/>
      </c>
    </row>
    <row r="222" spans="3:12" ht="15" customHeight="1" x14ac:dyDescent="0.35">
      <c r="C222" s="19"/>
      <c r="D222" s="19"/>
      <c r="E222" s="19"/>
      <c r="F222" s="19"/>
      <c r="L222" s="20" t="str">
        <f t="shared" si="12"/>
        <v/>
      </c>
    </row>
    <row r="223" spans="3:12" ht="15" customHeight="1" x14ac:dyDescent="0.35">
      <c r="C223" s="19"/>
      <c r="D223" s="19"/>
      <c r="E223" s="19"/>
      <c r="F223" s="19"/>
      <c r="L223" s="20" t="str">
        <f t="shared" si="12"/>
        <v/>
      </c>
    </row>
    <row r="224" spans="3:12" ht="15" customHeight="1" x14ac:dyDescent="0.35">
      <c r="C224" s="19"/>
      <c r="D224" s="19"/>
      <c r="E224" s="19"/>
      <c r="F224" s="19"/>
      <c r="L224" s="20" t="str">
        <f t="shared" si="12"/>
        <v/>
      </c>
    </row>
    <row r="225" spans="3:12" ht="15" customHeight="1" x14ac:dyDescent="0.35">
      <c r="C225" s="19"/>
      <c r="D225" s="19"/>
      <c r="E225" s="19"/>
      <c r="F225" s="19"/>
      <c r="L225" s="20" t="str">
        <f t="shared" si="12"/>
        <v/>
      </c>
    </row>
    <row r="226" spans="3:12" ht="15" customHeight="1" x14ac:dyDescent="0.35">
      <c r="C226" s="19"/>
      <c r="D226" s="19"/>
      <c r="E226" s="19"/>
      <c r="F226" s="19"/>
      <c r="L226" s="20" t="str">
        <f t="shared" si="12"/>
        <v/>
      </c>
    </row>
    <row r="227" spans="3:12" ht="15" customHeight="1" x14ac:dyDescent="0.35">
      <c r="C227" s="19"/>
      <c r="D227" s="19"/>
      <c r="E227" s="19"/>
      <c r="F227" s="19"/>
      <c r="L227" s="20" t="str">
        <f t="shared" si="12"/>
        <v/>
      </c>
    </row>
    <row r="228" spans="3:12" ht="15" customHeight="1" x14ac:dyDescent="0.35">
      <c r="C228" s="19"/>
      <c r="D228" s="19"/>
      <c r="E228" s="19"/>
      <c r="F228" s="19"/>
      <c r="L228" s="20" t="str">
        <f t="shared" si="12"/>
        <v/>
      </c>
    </row>
    <row r="229" spans="3:12" ht="15" customHeight="1" x14ac:dyDescent="0.35">
      <c r="C229" s="19"/>
      <c r="D229" s="19"/>
      <c r="E229" s="19"/>
      <c r="F229" s="19"/>
      <c r="L229" s="20" t="str">
        <f t="shared" si="12"/>
        <v/>
      </c>
    </row>
    <row r="230" spans="3:12" ht="15" customHeight="1" x14ac:dyDescent="0.35">
      <c r="C230" s="19"/>
      <c r="D230" s="19"/>
      <c r="E230" s="19"/>
      <c r="F230" s="19"/>
      <c r="L230" s="20" t="str">
        <f t="shared" si="12"/>
        <v/>
      </c>
    </row>
    <row r="231" spans="3:12" ht="15" customHeight="1" x14ac:dyDescent="0.35">
      <c r="C231" s="19"/>
      <c r="D231" s="19"/>
      <c r="E231" s="19"/>
      <c r="F231" s="19"/>
      <c r="L231" s="20" t="str">
        <f t="shared" si="12"/>
        <v/>
      </c>
    </row>
    <row r="232" spans="3:12" ht="15" customHeight="1" x14ac:dyDescent="0.35">
      <c r="C232" s="19"/>
      <c r="D232" s="19"/>
      <c r="E232" s="19"/>
      <c r="F232" s="19"/>
      <c r="L232" s="20" t="str">
        <f t="shared" si="12"/>
        <v/>
      </c>
    </row>
    <row r="233" spans="3:12" ht="15" customHeight="1" x14ac:dyDescent="0.35">
      <c r="C233" s="19"/>
      <c r="D233" s="19"/>
      <c r="E233" s="19"/>
      <c r="F233" s="19"/>
      <c r="L233" s="20" t="str">
        <f t="shared" si="12"/>
        <v/>
      </c>
    </row>
    <row r="234" spans="3:12" ht="15" customHeight="1" x14ac:dyDescent="0.35">
      <c r="C234" s="19"/>
      <c r="D234" s="19"/>
      <c r="E234" s="19"/>
      <c r="F234" s="19"/>
      <c r="L234" s="20" t="str">
        <f t="shared" si="12"/>
        <v/>
      </c>
    </row>
    <row r="235" spans="3:12" ht="15" customHeight="1" x14ac:dyDescent="0.35">
      <c r="C235" s="19"/>
      <c r="D235" s="19"/>
      <c r="E235" s="19"/>
      <c r="F235" s="19"/>
      <c r="L235" s="20" t="str">
        <f t="shared" si="12"/>
        <v/>
      </c>
    </row>
    <row r="236" spans="3:12" ht="15" customHeight="1" x14ac:dyDescent="0.35">
      <c r="C236" s="19"/>
      <c r="D236" s="19"/>
      <c r="E236" s="19"/>
      <c r="F236" s="19"/>
      <c r="L236" s="20" t="str">
        <f t="shared" si="12"/>
        <v/>
      </c>
    </row>
    <row r="237" spans="3:12" ht="15" customHeight="1" x14ac:dyDescent="0.35">
      <c r="C237" s="19"/>
      <c r="D237" s="19"/>
      <c r="E237" s="19"/>
      <c r="F237" s="19"/>
      <c r="L237" s="20" t="str">
        <f t="shared" si="12"/>
        <v/>
      </c>
    </row>
    <row r="238" spans="3:12" ht="15" customHeight="1" x14ac:dyDescent="0.35">
      <c r="C238" s="19"/>
      <c r="D238" s="19"/>
      <c r="E238" s="19"/>
      <c r="F238" s="19"/>
      <c r="L238" s="20" t="str">
        <f t="shared" si="12"/>
        <v/>
      </c>
    </row>
    <row r="239" spans="3:12" ht="15" customHeight="1" x14ac:dyDescent="0.35">
      <c r="C239" s="19"/>
      <c r="D239" s="19"/>
      <c r="E239" s="19"/>
      <c r="F239" s="19"/>
      <c r="L239" s="20" t="str">
        <f t="shared" si="12"/>
        <v/>
      </c>
    </row>
    <row r="240" spans="3:12" ht="15" customHeight="1" x14ac:dyDescent="0.35">
      <c r="C240" s="19"/>
      <c r="D240" s="19"/>
      <c r="E240" s="19"/>
      <c r="F240" s="19"/>
      <c r="L240" s="20" t="str">
        <f t="shared" si="12"/>
        <v/>
      </c>
    </row>
    <row r="241" spans="3:12" ht="15" customHeight="1" x14ac:dyDescent="0.35">
      <c r="C241" s="19"/>
      <c r="D241" s="19"/>
      <c r="E241" s="19"/>
      <c r="F241" s="19"/>
      <c r="L241" s="20" t="str">
        <f t="shared" si="12"/>
        <v/>
      </c>
    </row>
    <row r="242" spans="3:12" ht="15" customHeight="1" x14ac:dyDescent="0.35">
      <c r="C242" s="19"/>
      <c r="D242" s="19"/>
      <c r="E242" s="19"/>
      <c r="F242" s="19"/>
      <c r="L242" s="20" t="str">
        <f t="shared" si="12"/>
        <v/>
      </c>
    </row>
    <row r="243" spans="3:12" ht="15" customHeight="1" x14ac:dyDescent="0.35">
      <c r="C243" s="19"/>
      <c r="D243" s="19"/>
      <c r="E243" s="19"/>
      <c r="F243" s="19"/>
      <c r="L243" s="20" t="str">
        <f t="shared" si="12"/>
        <v/>
      </c>
    </row>
    <row r="244" spans="3:12" ht="15" customHeight="1" x14ac:dyDescent="0.35">
      <c r="C244" s="19"/>
      <c r="D244" s="19"/>
      <c r="E244" s="19"/>
      <c r="F244" s="19"/>
      <c r="L244" s="20" t="str">
        <f t="shared" si="12"/>
        <v/>
      </c>
    </row>
    <row r="245" spans="3:12" ht="15" customHeight="1" x14ac:dyDescent="0.35">
      <c r="C245" s="19"/>
      <c r="D245" s="19"/>
      <c r="E245" s="19"/>
      <c r="F245" s="19"/>
      <c r="L245" s="20" t="str">
        <f t="shared" si="12"/>
        <v/>
      </c>
    </row>
    <row r="246" spans="3:12" ht="15" customHeight="1" x14ac:dyDescent="0.35">
      <c r="C246" s="19"/>
      <c r="D246" s="19"/>
      <c r="E246" s="19"/>
      <c r="F246" s="19"/>
      <c r="L246" s="20" t="str">
        <f t="shared" si="12"/>
        <v/>
      </c>
    </row>
    <row r="247" spans="3:12" ht="15" customHeight="1" x14ac:dyDescent="0.35">
      <c r="C247" s="19"/>
      <c r="D247" s="19"/>
      <c r="E247" s="19"/>
      <c r="F247" s="19"/>
      <c r="L247" s="20" t="str">
        <f t="shared" si="12"/>
        <v/>
      </c>
    </row>
    <row r="248" spans="3:12" ht="15" customHeight="1" x14ac:dyDescent="0.35">
      <c r="C248" s="19"/>
      <c r="D248" s="19"/>
      <c r="E248" s="19"/>
      <c r="F248" s="19"/>
      <c r="L248" s="20" t="str">
        <f t="shared" si="12"/>
        <v/>
      </c>
    </row>
    <row r="249" spans="3:12" ht="15" customHeight="1" x14ac:dyDescent="0.35">
      <c r="C249" s="19"/>
      <c r="D249" s="19"/>
      <c r="E249" s="19"/>
      <c r="F249" s="19"/>
      <c r="L249" s="20" t="str">
        <f t="shared" si="12"/>
        <v/>
      </c>
    </row>
    <row r="250" spans="3:12" ht="15" customHeight="1" x14ac:dyDescent="0.35">
      <c r="C250" s="19"/>
      <c r="D250" s="19"/>
      <c r="E250" s="19"/>
      <c r="F250" s="19"/>
      <c r="L250" s="20" t="str">
        <f t="shared" si="12"/>
        <v/>
      </c>
    </row>
    <row r="251" spans="3:12" ht="15" customHeight="1" x14ac:dyDescent="0.35">
      <c r="C251" s="19"/>
      <c r="D251" s="19"/>
      <c r="E251" s="19"/>
      <c r="F251" s="19"/>
      <c r="L251" s="20" t="str">
        <f t="shared" si="12"/>
        <v/>
      </c>
    </row>
    <row r="252" spans="3:12" ht="15" customHeight="1" x14ac:dyDescent="0.35">
      <c r="C252" s="19"/>
      <c r="D252" s="19"/>
      <c r="E252" s="19"/>
      <c r="F252" s="19"/>
      <c r="L252" s="20" t="str">
        <f t="shared" si="12"/>
        <v/>
      </c>
    </row>
    <row r="253" spans="3:12" ht="15" customHeight="1" x14ac:dyDescent="0.35">
      <c r="C253" s="19"/>
      <c r="D253" s="19"/>
      <c r="E253" s="19"/>
      <c r="F253" s="19"/>
      <c r="L253" s="20" t="str">
        <f t="shared" si="12"/>
        <v/>
      </c>
    </row>
    <row r="254" spans="3:12" ht="15" customHeight="1" x14ac:dyDescent="0.35">
      <c r="C254" s="19"/>
      <c r="D254" s="19"/>
      <c r="E254" s="19"/>
      <c r="F254" s="19"/>
      <c r="L254" s="20" t="str">
        <f t="shared" si="12"/>
        <v/>
      </c>
    </row>
    <row r="255" spans="3:12" ht="15" customHeight="1" x14ac:dyDescent="0.35">
      <c r="C255" s="19"/>
      <c r="D255" s="19"/>
      <c r="E255" s="19"/>
      <c r="F255" s="19"/>
      <c r="L255" s="20" t="str">
        <f t="shared" si="12"/>
        <v/>
      </c>
    </row>
    <row r="256" spans="3:12" ht="15" customHeight="1" x14ac:dyDescent="0.35">
      <c r="C256" s="19"/>
      <c r="D256" s="19"/>
      <c r="E256" s="19"/>
      <c r="F256" s="19"/>
      <c r="L256" s="20" t="str">
        <f t="shared" si="12"/>
        <v/>
      </c>
    </row>
    <row r="257" spans="3:12" ht="15" customHeight="1" x14ac:dyDescent="0.35">
      <c r="C257" s="19"/>
      <c r="D257" s="19"/>
      <c r="E257" s="19"/>
      <c r="F257" s="19"/>
      <c r="L257" s="20" t="str">
        <f t="shared" si="12"/>
        <v/>
      </c>
    </row>
    <row r="258" spans="3:12" ht="15" customHeight="1" x14ac:dyDescent="0.35">
      <c r="C258" s="19"/>
      <c r="D258" s="19"/>
      <c r="E258" s="19"/>
      <c r="F258" s="19"/>
      <c r="L258" s="20" t="str">
        <f t="shared" si="12"/>
        <v/>
      </c>
    </row>
    <row r="259" spans="3:12" ht="15" customHeight="1" x14ac:dyDescent="0.35">
      <c r="C259" s="19"/>
      <c r="D259" s="19"/>
      <c r="E259" s="19"/>
      <c r="F259" s="19"/>
      <c r="L259" s="20" t="str">
        <f t="shared" si="12"/>
        <v/>
      </c>
    </row>
    <row r="260" spans="3:12" ht="15" customHeight="1" x14ac:dyDescent="0.35">
      <c r="C260" s="19"/>
      <c r="D260" s="19"/>
      <c r="E260" s="19"/>
      <c r="F260" s="19"/>
      <c r="L260" s="20" t="str">
        <f t="shared" si="12"/>
        <v/>
      </c>
    </row>
    <row r="261" spans="3:12" ht="15" customHeight="1" x14ac:dyDescent="0.35">
      <c r="C261" s="19"/>
      <c r="D261" s="19"/>
      <c r="E261" s="19"/>
      <c r="F261" s="19"/>
      <c r="L261" s="20" t="str">
        <f t="shared" si="12"/>
        <v/>
      </c>
    </row>
    <row r="262" spans="3:12" ht="15" customHeight="1" x14ac:dyDescent="0.35">
      <c r="C262" s="19"/>
      <c r="D262" s="19"/>
      <c r="E262" s="19"/>
      <c r="F262" s="19"/>
      <c r="L262" s="20" t="str">
        <f t="shared" si="12"/>
        <v/>
      </c>
    </row>
    <row r="263" spans="3:12" ht="15" customHeight="1" x14ac:dyDescent="0.35">
      <c r="C263" s="19"/>
      <c r="D263" s="19"/>
      <c r="E263" s="19"/>
      <c r="F263" s="19"/>
      <c r="L263" s="20" t="str">
        <f t="shared" ref="L263:L305" si="13">IF(OR($C263="",$D263="",$E263="",$F263=""),"",IFERROR(INDEX(MASTERFLAT_PRICE,MATCH($C263&amp;"|"&amp;$D263&amp;"|"&amp;$E263&amp;"|"&amp;$F263,MASTERFLAT_KEY,0)),"Check Master List"))</f>
        <v/>
      </c>
    </row>
    <row r="264" spans="3:12" ht="15" customHeight="1" x14ac:dyDescent="0.35">
      <c r="C264" s="19"/>
      <c r="D264" s="19"/>
      <c r="E264" s="19"/>
      <c r="F264" s="19"/>
      <c r="L264" s="20" t="str">
        <f t="shared" si="13"/>
        <v/>
      </c>
    </row>
    <row r="265" spans="3:12" ht="15" customHeight="1" x14ac:dyDescent="0.35">
      <c r="C265" s="19"/>
      <c r="D265" s="19"/>
      <c r="E265" s="19"/>
      <c r="F265" s="19"/>
      <c r="L265" s="20" t="str">
        <f t="shared" si="13"/>
        <v/>
      </c>
    </row>
    <row r="266" spans="3:12" ht="15" customHeight="1" x14ac:dyDescent="0.35">
      <c r="C266" s="19"/>
      <c r="D266" s="19"/>
      <c r="E266" s="19"/>
      <c r="F266" s="19"/>
      <c r="L266" s="20" t="str">
        <f t="shared" si="13"/>
        <v/>
      </c>
    </row>
    <row r="267" spans="3:12" ht="15" customHeight="1" x14ac:dyDescent="0.35">
      <c r="C267" s="19"/>
      <c r="D267" s="19"/>
      <c r="E267" s="19"/>
      <c r="F267" s="19"/>
      <c r="L267" s="20" t="str">
        <f t="shared" si="13"/>
        <v/>
      </c>
    </row>
    <row r="268" spans="3:12" ht="15" customHeight="1" x14ac:dyDescent="0.35">
      <c r="C268" s="19"/>
      <c r="D268" s="19"/>
      <c r="E268" s="19"/>
      <c r="F268" s="19"/>
      <c r="L268" s="20" t="str">
        <f t="shared" si="13"/>
        <v/>
      </c>
    </row>
    <row r="269" spans="3:12" ht="15" customHeight="1" x14ac:dyDescent="0.35">
      <c r="C269" s="19"/>
      <c r="D269" s="19"/>
      <c r="E269" s="19"/>
      <c r="F269" s="19"/>
      <c r="L269" s="20" t="str">
        <f t="shared" si="13"/>
        <v/>
      </c>
    </row>
    <row r="270" spans="3:12" ht="15" customHeight="1" x14ac:dyDescent="0.35">
      <c r="C270" s="19"/>
      <c r="D270" s="19"/>
      <c r="E270" s="19"/>
      <c r="F270" s="19"/>
      <c r="L270" s="20" t="str">
        <f t="shared" si="13"/>
        <v/>
      </c>
    </row>
    <row r="271" spans="3:12" ht="15" customHeight="1" x14ac:dyDescent="0.35">
      <c r="C271" s="19"/>
      <c r="D271" s="19"/>
      <c r="E271" s="19"/>
      <c r="F271" s="19"/>
      <c r="L271" s="20" t="str">
        <f t="shared" si="13"/>
        <v/>
      </c>
    </row>
    <row r="272" spans="3:12" ht="15" customHeight="1" x14ac:dyDescent="0.35">
      <c r="C272" s="19"/>
      <c r="D272" s="19"/>
      <c r="E272" s="19"/>
      <c r="F272" s="19"/>
      <c r="L272" s="20" t="str">
        <f t="shared" si="13"/>
        <v/>
      </c>
    </row>
    <row r="273" spans="3:12" ht="15" customHeight="1" x14ac:dyDescent="0.35">
      <c r="C273" s="19"/>
      <c r="D273" s="19"/>
      <c r="E273" s="19"/>
      <c r="F273" s="19"/>
      <c r="L273" s="20" t="str">
        <f t="shared" si="13"/>
        <v/>
      </c>
    </row>
    <row r="274" spans="3:12" ht="15" customHeight="1" x14ac:dyDescent="0.35">
      <c r="C274" s="19"/>
      <c r="D274" s="19"/>
      <c r="E274" s="19"/>
      <c r="F274" s="19"/>
      <c r="L274" s="20" t="str">
        <f t="shared" si="13"/>
        <v/>
      </c>
    </row>
    <row r="275" spans="3:12" ht="15" customHeight="1" x14ac:dyDescent="0.35">
      <c r="C275" s="19"/>
      <c r="D275" s="19"/>
      <c r="E275" s="19"/>
      <c r="F275" s="19"/>
      <c r="L275" s="20" t="str">
        <f t="shared" si="13"/>
        <v/>
      </c>
    </row>
    <row r="276" spans="3:12" ht="15" customHeight="1" x14ac:dyDescent="0.35">
      <c r="C276" s="19"/>
      <c r="D276" s="19"/>
      <c r="E276" s="19"/>
      <c r="F276" s="19"/>
      <c r="L276" s="20" t="str">
        <f t="shared" si="13"/>
        <v/>
      </c>
    </row>
    <row r="277" spans="3:12" ht="15" customHeight="1" x14ac:dyDescent="0.35">
      <c r="C277" s="19"/>
      <c r="D277" s="19"/>
      <c r="E277" s="19"/>
      <c r="F277" s="19"/>
      <c r="L277" s="20" t="str">
        <f t="shared" si="13"/>
        <v/>
      </c>
    </row>
    <row r="278" spans="3:12" ht="15" customHeight="1" x14ac:dyDescent="0.35">
      <c r="C278" s="19"/>
      <c r="D278" s="19"/>
      <c r="E278" s="19"/>
      <c r="F278" s="19"/>
      <c r="L278" s="20" t="str">
        <f t="shared" si="13"/>
        <v/>
      </c>
    </row>
    <row r="279" spans="3:12" ht="15" customHeight="1" x14ac:dyDescent="0.35">
      <c r="C279" s="19"/>
      <c r="D279" s="19"/>
      <c r="E279" s="19"/>
      <c r="F279" s="19"/>
      <c r="L279" s="20" t="str">
        <f t="shared" si="13"/>
        <v/>
      </c>
    </row>
    <row r="280" spans="3:12" ht="15" customHeight="1" x14ac:dyDescent="0.35">
      <c r="C280" s="19"/>
      <c r="D280" s="19"/>
      <c r="E280" s="19"/>
      <c r="F280" s="19"/>
      <c r="L280" s="20" t="str">
        <f t="shared" si="13"/>
        <v/>
      </c>
    </row>
    <row r="281" spans="3:12" ht="15" customHeight="1" x14ac:dyDescent="0.35">
      <c r="C281" s="19"/>
      <c r="D281" s="19"/>
      <c r="E281" s="19"/>
      <c r="F281" s="19"/>
      <c r="L281" s="20" t="str">
        <f t="shared" si="13"/>
        <v/>
      </c>
    </row>
    <row r="282" spans="3:12" ht="15" customHeight="1" x14ac:dyDescent="0.35">
      <c r="C282" s="19"/>
      <c r="D282" s="19"/>
      <c r="E282" s="19"/>
      <c r="F282" s="19"/>
      <c r="L282" s="20" t="str">
        <f t="shared" si="13"/>
        <v/>
      </c>
    </row>
    <row r="283" spans="3:12" ht="15" customHeight="1" x14ac:dyDescent="0.35">
      <c r="C283" s="19"/>
      <c r="D283" s="19"/>
      <c r="E283" s="19"/>
      <c r="F283" s="19"/>
      <c r="L283" s="20" t="str">
        <f t="shared" si="13"/>
        <v/>
      </c>
    </row>
    <row r="284" spans="3:12" ht="15" customHeight="1" x14ac:dyDescent="0.35">
      <c r="C284" s="19"/>
      <c r="D284" s="19"/>
      <c r="E284" s="19"/>
      <c r="F284" s="19"/>
      <c r="L284" s="20" t="str">
        <f t="shared" si="13"/>
        <v/>
      </c>
    </row>
    <row r="285" spans="3:12" ht="15" customHeight="1" x14ac:dyDescent="0.35">
      <c r="C285" s="19"/>
      <c r="D285" s="19"/>
      <c r="E285" s="19"/>
      <c r="F285" s="19"/>
      <c r="L285" s="20" t="str">
        <f t="shared" si="13"/>
        <v/>
      </c>
    </row>
    <row r="286" spans="3:12" ht="15" customHeight="1" x14ac:dyDescent="0.35">
      <c r="C286" s="19"/>
      <c r="D286" s="19"/>
      <c r="E286" s="19"/>
      <c r="F286" s="19"/>
      <c r="L286" s="20" t="str">
        <f t="shared" si="13"/>
        <v/>
      </c>
    </row>
    <row r="287" spans="3:12" ht="15" customHeight="1" x14ac:dyDescent="0.35">
      <c r="C287" s="19"/>
      <c r="D287" s="19"/>
      <c r="E287" s="19"/>
      <c r="F287" s="19"/>
      <c r="L287" s="20" t="str">
        <f t="shared" si="13"/>
        <v/>
      </c>
    </row>
    <row r="288" spans="3:12" ht="15" customHeight="1" x14ac:dyDescent="0.35">
      <c r="C288" s="19"/>
      <c r="D288" s="19"/>
      <c r="E288" s="19"/>
      <c r="F288" s="19"/>
      <c r="L288" s="20" t="str">
        <f t="shared" si="13"/>
        <v/>
      </c>
    </row>
    <row r="289" spans="3:12" ht="15" customHeight="1" x14ac:dyDescent="0.35">
      <c r="C289" s="19"/>
      <c r="D289" s="19"/>
      <c r="E289" s="19"/>
      <c r="F289" s="19"/>
      <c r="L289" s="20" t="str">
        <f t="shared" si="13"/>
        <v/>
      </c>
    </row>
    <row r="290" spans="3:12" ht="15" customHeight="1" x14ac:dyDescent="0.35">
      <c r="C290" s="19"/>
      <c r="D290" s="19"/>
      <c r="E290" s="19"/>
      <c r="F290" s="19"/>
      <c r="L290" s="20" t="str">
        <f t="shared" si="13"/>
        <v/>
      </c>
    </row>
    <row r="291" spans="3:12" ht="15" customHeight="1" x14ac:dyDescent="0.35">
      <c r="C291" s="19"/>
      <c r="D291" s="19"/>
      <c r="E291" s="19"/>
      <c r="F291" s="19"/>
      <c r="L291" s="20" t="str">
        <f t="shared" si="13"/>
        <v/>
      </c>
    </row>
    <row r="292" spans="3:12" ht="15" customHeight="1" x14ac:dyDescent="0.35">
      <c r="C292" s="19"/>
      <c r="D292" s="19"/>
      <c r="E292" s="19"/>
      <c r="F292" s="19"/>
      <c r="L292" s="20" t="str">
        <f t="shared" si="13"/>
        <v/>
      </c>
    </row>
    <row r="293" spans="3:12" ht="15" customHeight="1" x14ac:dyDescent="0.35">
      <c r="C293" s="19"/>
      <c r="D293" s="19"/>
      <c r="E293" s="19"/>
      <c r="F293" s="19"/>
      <c r="L293" s="20" t="str">
        <f t="shared" si="13"/>
        <v/>
      </c>
    </row>
    <row r="294" spans="3:12" ht="15" customHeight="1" x14ac:dyDescent="0.35">
      <c r="C294" s="19"/>
      <c r="D294" s="19"/>
      <c r="E294" s="19"/>
      <c r="F294" s="19"/>
      <c r="L294" s="20" t="str">
        <f t="shared" si="13"/>
        <v/>
      </c>
    </row>
    <row r="295" spans="3:12" ht="15" customHeight="1" x14ac:dyDescent="0.35">
      <c r="C295" s="19"/>
      <c r="D295" s="19"/>
      <c r="E295" s="19"/>
      <c r="F295" s="19"/>
      <c r="L295" s="20" t="str">
        <f t="shared" si="13"/>
        <v/>
      </c>
    </row>
    <row r="296" spans="3:12" ht="15" customHeight="1" x14ac:dyDescent="0.35">
      <c r="C296" s="19"/>
      <c r="D296" s="19"/>
      <c r="E296" s="19"/>
      <c r="F296" s="19"/>
      <c r="L296" s="20" t="str">
        <f t="shared" si="13"/>
        <v/>
      </c>
    </row>
    <row r="297" spans="3:12" ht="15" customHeight="1" x14ac:dyDescent="0.35">
      <c r="C297" s="19"/>
      <c r="D297" s="19"/>
      <c r="E297" s="19"/>
      <c r="F297" s="19"/>
      <c r="L297" s="20" t="str">
        <f t="shared" si="13"/>
        <v/>
      </c>
    </row>
    <row r="298" spans="3:12" ht="15" customHeight="1" x14ac:dyDescent="0.35">
      <c r="C298" s="19"/>
      <c r="D298" s="19"/>
      <c r="E298" s="19"/>
      <c r="F298" s="19"/>
      <c r="L298" s="20" t="str">
        <f t="shared" si="13"/>
        <v/>
      </c>
    </row>
    <row r="299" spans="3:12" ht="15" customHeight="1" x14ac:dyDescent="0.35">
      <c r="C299" s="19"/>
      <c r="D299" s="19"/>
      <c r="E299" s="19"/>
      <c r="F299" s="19"/>
      <c r="L299" s="20" t="str">
        <f t="shared" si="13"/>
        <v/>
      </c>
    </row>
    <row r="300" spans="3:12" ht="15" customHeight="1" x14ac:dyDescent="0.35">
      <c r="C300" s="19"/>
      <c r="D300" s="19"/>
      <c r="E300" s="19"/>
      <c r="F300" s="19"/>
      <c r="L300" s="20" t="str">
        <f t="shared" si="13"/>
        <v/>
      </c>
    </row>
    <row r="301" spans="3:12" ht="15" customHeight="1" x14ac:dyDescent="0.35">
      <c r="C301" s="19"/>
      <c r="D301" s="19"/>
      <c r="E301" s="19"/>
      <c r="F301" s="19"/>
      <c r="L301" s="20" t="str">
        <f t="shared" si="13"/>
        <v/>
      </c>
    </row>
    <row r="302" spans="3:12" ht="15" customHeight="1" x14ac:dyDescent="0.35">
      <c r="C302" s="19"/>
      <c r="D302" s="19"/>
      <c r="E302" s="19"/>
      <c r="F302" s="19"/>
      <c r="L302" s="20" t="str">
        <f t="shared" si="13"/>
        <v/>
      </c>
    </row>
    <row r="303" spans="3:12" ht="15" customHeight="1" x14ac:dyDescent="0.35">
      <c r="C303" s="19"/>
      <c r="D303" s="19"/>
      <c r="E303" s="19"/>
      <c r="F303" s="19"/>
      <c r="L303" s="20" t="str">
        <f t="shared" si="13"/>
        <v/>
      </c>
    </row>
    <row r="304" spans="3:12" ht="15" customHeight="1" x14ac:dyDescent="0.35">
      <c r="C304" s="19"/>
      <c r="D304" s="19"/>
      <c r="E304" s="19"/>
      <c r="F304" s="19"/>
      <c r="L304" s="20" t="str">
        <f t="shared" si="13"/>
        <v/>
      </c>
    </row>
    <row r="305" spans="3:12" ht="15" customHeight="1" x14ac:dyDescent="0.35">
      <c r="C305" s="19"/>
      <c r="D305" s="19"/>
      <c r="E305" s="19"/>
      <c r="F305" s="19"/>
      <c r="L305" s="20" t="str">
        <f t="shared" si="13"/>
        <v/>
      </c>
    </row>
  </sheetData>
  <mergeCells count="29">
    <mergeCell ref="A15:M15"/>
    <mergeCell ref="A35:L35"/>
    <mergeCell ref="A36:M36"/>
    <mergeCell ref="A41:L41"/>
    <mergeCell ref="A23:L23"/>
    <mergeCell ref="A24:M24"/>
    <mergeCell ref="A29:L29"/>
    <mergeCell ref="A30:M30"/>
    <mergeCell ref="H2:I2"/>
    <mergeCell ref="J2:J3"/>
    <mergeCell ref="K2:K3"/>
    <mergeCell ref="M2:M3"/>
    <mergeCell ref="L2:L3"/>
    <mergeCell ref="A42:L42"/>
    <mergeCell ref="A43:L43"/>
    <mergeCell ref="A44:L44"/>
    <mergeCell ref="A45:L45"/>
    <mergeCell ref="A1:M1"/>
    <mergeCell ref="A7:L7"/>
    <mergeCell ref="A4:M4"/>
    <mergeCell ref="B2:B3"/>
    <mergeCell ref="A8:M8"/>
    <mergeCell ref="A14:L14"/>
    <mergeCell ref="A2:A3"/>
    <mergeCell ref="C2:C3"/>
    <mergeCell ref="D2:D3"/>
    <mergeCell ref="E2:E3"/>
    <mergeCell ref="F2:F3"/>
    <mergeCell ref="G2:G3"/>
  </mergeCells>
  <dataValidations count="4">
    <dataValidation type="list" allowBlank="1" showErrorMessage="1" errorTitle="Invalid Finish" error="Please pick Item, Carcass &amp; Shutter first, then choose a Finish from the list." sqref="F5:F6 F9:F13 F16:F22 F25:F28 F31:F34 F37:F40 F46:F305">
      <formula1>INDIRECT("FIN_"&amp;MATCH($C5&amp;"|"&amp;$D5&amp;"|"&amp;$E5,TRIPLIST,0))</formula1>
      <formula2>0</formula2>
    </dataValidation>
    <dataValidation type="list" allowBlank="1" showErrorMessage="1" errorTitle="Invalid Shutter" error="Please pick Item &amp; Carcass first, then choose a Shutter from the list." sqref="E5:E6 E9:E13 E16:E22 E25:E28 E31:E34 E37:E40 E46:E305">
      <formula1>INDIRECT("SHU_"&amp;MATCH($C5&amp;"|"&amp;$D5,PAIRLIST,0))</formula1>
      <formula2>0</formula2>
    </dataValidation>
    <dataValidation type="list" allowBlank="1" showErrorMessage="1" errorTitle="Invalid Carcass" error="Please pick an Item first, then choose a Carcass from the list." sqref="D5:D6 D9:D13 D16:D22 D25:D28 D31:D34 D37:D40 D46:D305">
      <formula1>INDIRECT("CAR_"&amp;MATCH($C5,ITEMS_LIST,0))</formula1>
      <formula2>0</formula2>
    </dataValidation>
    <dataValidation type="list" allowBlank="1" showErrorMessage="1" errorTitle="Invalid Item" error="Please choose an Item from the list." sqref="C5:C6 C9:C13 C16:C22 C25:C28 C31:C34 C37:C40 C46:C305">
      <formula1>ITEMS_LIST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O76"/>
  <sheetViews>
    <sheetView zoomScaleNormal="100" workbookViewId="0"/>
  </sheetViews>
  <sheetFormatPr defaultColWidth="8.7265625" defaultRowHeight="14.5" x14ac:dyDescent="0.35"/>
  <sheetData>
    <row r="1" spans="1:119" ht="41.25" customHeight="1" x14ac:dyDescent="0.35">
      <c r="A1" s="2" t="s">
        <v>94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99</v>
      </c>
      <c r="G1" s="2" t="s">
        <v>100</v>
      </c>
      <c r="H1" s="2" t="s">
        <v>101</v>
      </c>
      <c r="I1" s="2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  <c r="R1" s="2" t="s">
        <v>111</v>
      </c>
      <c r="S1" s="2" t="s">
        <v>112</v>
      </c>
      <c r="T1" s="2" t="s">
        <v>113</v>
      </c>
      <c r="U1" s="2" t="s">
        <v>114</v>
      </c>
      <c r="V1" s="2" t="s">
        <v>115</v>
      </c>
      <c r="W1" s="2" t="s">
        <v>116</v>
      </c>
      <c r="X1" s="2" t="s">
        <v>117</v>
      </c>
      <c r="Y1" s="2" t="s">
        <v>118</v>
      </c>
      <c r="Z1" s="2" t="s">
        <v>119</v>
      </c>
      <c r="AA1" s="2" t="s">
        <v>120</v>
      </c>
      <c r="AB1" s="2" t="s">
        <v>121</v>
      </c>
      <c r="AC1" s="2" t="s">
        <v>122</v>
      </c>
      <c r="AD1" s="22" t="s">
        <v>123</v>
      </c>
      <c r="AE1" s="2" t="s">
        <v>124</v>
      </c>
      <c r="AF1" s="2" t="s">
        <v>125</v>
      </c>
      <c r="AG1" s="2" t="s">
        <v>126</v>
      </c>
      <c r="AH1" s="2" t="s">
        <v>127</v>
      </c>
      <c r="AI1" s="2" t="s">
        <v>128</v>
      </c>
      <c r="AJ1" s="2" t="s">
        <v>129</v>
      </c>
      <c r="AK1" s="2" t="s">
        <v>130</v>
      </c>
      <c r="AL1" s="2" t="s">
        <v>131</v>
      </c>
      <c r="AM1" s="2" t="s">
        <v>132</v>
      </c>
      <c r="AN1" s="2" t="s">
        <v>133</v>
      </c>
      <c r="AO1" s="2" t="s">
        <v>134</v>
      </c>
      <c r="AP1" s="2" t="s">
        <v>135</v>
      </c>
      <c r="AQ1" s="2" t="s">
        <v>136</v>
      </c>
      <c r="AR1" s="2" t="s">
        <v>137</v>
      </c>
      <c r="AS1" s="2" t="s">
        <v>138</v>
      </c>
      <c r="AT1" s="2" t="s">
        <v>139</v>
      </c>
      <c r="AU1" s="2" t="s">
        <v>140</v>
      </c>
      <c r="AV1" s="2" t="s">
        <v>141</v>
      </c>
      <c r="AW1" s="2" t="s">
        <v>142</v>
      </c>
      <c r="AX1" s="2" t="s">
        <v>143</v>
      </c>
      <c r="AY1" s="2" t="s">
        <v>144</v>
      </c>
      <c r="AZ1" s="2" t="s">
        <v>145</v>
      </c>
      <c r="BA1" s="2" t="s">
        <v>146</v>
      </c>
      <c r="BB1" s="2" t="s">
        <v>147</v>
      </c>
      <c r="BC1" s="2" t="s">
        <v>148</v>
      </c>
      <c r="BD1" s="2" t="s">
        <v>149</v>
      </c>
      <c r="BE1" s="2" t="s">
        <v>150</v>
      </c>
      <c r="BF1" s="2" t="s">
        <v>151</v>
      </c>
      <c r="BG1" s="2" t="s">
        <v>152</v>
      </c>
      <c r="BH1" s="2" t="s">
        <v>153</v>
      </c>
      <c r="BI1" s="2" t="s">
        <v>154</v>
      </c>
      <c r="BJ1" s="2" t="s">
        <v>155</v>
      </c>
      <c r="BK1" s="2" t="s">
        <v>156</v>
      </c>
      <c r="BL1" s="2" t="s">
        <v>157</v>
      </c>
      <c r="BM1" s="2" t="s">
        <v>158</v>
      </c>
      <c r="BN1" s="2" t="s">
        <v>159</v>
      </c>
      <c r="BO1" s="2" t="s">
        <v>160</v>
      </c>
      <c r="BP1" s="2" t="s">
        <v>161</v>
      </c>
      <c r="BQ1" s="2" t="s">
        <v>162</v>
      </c>
      <c r="BR1" s="2" t="s">
        <v>163</v>
      </c>
      <c r="BS1" s="2" t="s">
        <v>164</v>
      </c>
      <c r="BT1" s="2" t="s">
        <v>165</v>
      </c>
      <c r="BU1" s="2" t="s">
        <v>166</v>
      </c>
      <c r="BV1" s="2" t="s">
        <v>167</v>
      </c>
      <c r="BW1" s="2" t="s">
        <v>168</v>
      </c>
      <c r="BX1" s="2" t="s">
        <v>169</v>
      </c>
      <c r="BY1" s="2" t="s">
        <v>170</v>
      </c>
      <c r="BZ1" s="2" t="s">
        <v>171</v>
      </c>
      <c r="CA1" s="2" t="s">
        <v>172</v>
      </c>
      <c r="CB1" s="2" t="s">
        <v>173</v>
      </c>
      <c r="CC1" s="2" t="s">
        <v>174</v>
      </c>
      <c r="CD1" s="2" t="s">
        <v>175</v>
      </c>
      <c r="CE1" s="2" t="s">
        <v>176</v>
      </c>
      <c r="CF1" s="2" t="s">
        <v>177</v>
      </c>
      <c r="CG1" s="2" t="s">
        <v>178</v>
      </c>
      <c r="CH1" s="2" t="s">
        <v>179</v>
      </c>
      <c r="CI1" s="2" t="s">
        <v>180</v>
      </c>
      <c r="CJ1" s="2" t="s">
        <v>181</v>
      </c>
      <c r="CK1" s="2" t="s">
        <v>182</v>
      </c>
      <c r="CL1" s="2" t="s">
        <v>183</v>
      </c>
      <c r="CM1" s="2" t="s">
        <v>184</v>
      </c>
      <c r="CN1" s="2" t="s">
        <v>185</v>
      </c>
      <c r="CO1" s="2" t="s">
        <v>186</v>
      </c>
      <c r="CP1" s="2" t="s">
        <v>187</v>
      </c>
      <c r="CQ1" s="2" t="s">
        <v>188</v>
      </c>
      <c r="CR1" s="2" t="s">
        <v>189</v>
      </c>
      <c r="CS1" s="2" t="s">
        <v>190</v>
      </c>
      <c r="CT1" s="2" t="s">
        <v>191</v>
      </c>
      <c r="CU1" s="2" t="s">
        <v>192</v>
      </c>
      <c r="CV1" s="2" t="s">
        <v>193</v>
      </c>
      <c r="CW1" s="2" t="s">
        <v>194</v>
      </c>
      <c r="CX1" s="2" t="s">
        <v>195</v>
      </c>
      <c r="CY1" s="2" t="s">
        <v>196</v>
      </c>
      <c r="CZ1" s="2" t="s">
        <v>197</v>
      </c>
      <c r="DA1" s="2" t="s">
        <v>198</v>
      </c>
      <c r="DB1" s="22" t="s">
        <v>199</v>
      </c>
      <c r="DC1" s="2" t="s">
        <v>200</v>
      </c>
      <c r="DD1" s="2" t="s">
        <v>201</v>
      </c>
      <c r="DE1" s="2" t="s">
        <v>202</v>
      </c>
      <c r="DF1" s="2" t="s">
        <v>203</v>
      </c>
      <c r="DG1" s="2" t="s">
        <v>204</v>
      </c>
      <c r="DH1" s="2" t="s">
        <v>205</v>
      </c>
      <c r="DI1" s="2" t="s">
        <v>206</v>
      </c>
      <c r="DJ1" s="2" t="s">
        <v>207</v>
      </c>
      <c r="DK1" s="2" t="s">
        <v>208</v>
      </c>
      <c r="DL1" s="2" t="s">
        <v>209</v>
      </c>
      <c r="DM1" s="2" t="s">
        <v>210</v>
      </c>
      <c r="DN1" s="2" t="s">
        <v>211</v>
      </c>
      <c r="DO1" s="2" t="s">
        <v>212</v>
      </c>
    </row>
    <row r="2" spans="1:119" ht="15" customHeight="1" x14ac:dyDescent="0.35">
      <c r="A2" s="2" t="s">
        <v>8</v>
      </c>
      <c r="B2" s="2" t="s">
        <v>9</v>
      </c>
      <c r="C2" s="2" t="s">
        <v>9</v>
      </c>
      <c r="D2" s="2" t="s">
        <v>22</v>
      </c>
      <c r="E2" s="2" t="s">
        <v>27</v>
      </c>
      <c r="F2" s="2" t="s">
        <v>50</v>
      </c>
      <c r="G2" s="2" t="s">
        <v>69</v>
      </c>
      <c r="H2" s="2" t="s">
        <v>74</v>
      </c>
      <c r="I2" s="2" t="s">
        <v>81</v>
      </c>
      <c r="J2" s="2" t="s">
        <v>88</v>
      </c>
      <c r="K2" s="2" t="s">
        <v>213</v>
      </c>
      <c r="L2" s="2" t="s">
        <v>10</v>
      </c>
      <c r="M2" s="2" t="s">
        <v>10</v>
      </c>
      <c r="N2" s="2" t="s">
        <v>10</v>
      </c>
      <c r="O2" s="2" t="s">
        <v>10</v>
      </c>
      <c r="P2" s="2" t="s">
        <v>10</v>
      </c>
      <c r="Q2" s="2" t="s">
        <v>10</v>
      </c>
      <c r="R2" s="2" t="s">
        <v>10</v>
      </c>
      <c r="S2" s="2" t="s">
        <v>10</v>
      </c>
      <c r="T2" s="2" t="s">
        <v>10</v>
      </c>
      <c r="U2" s="2" t="s">
        <v>10</v>
      </c>
      <c r="V2" s="2" t="s">
        <v>10</v>
      </c>
      <c r="W2" s="2" t="s">
        <v>214</v>
      </c>
      <c r="X2" s="2" t="s">
        <v>214</v>
      </c>
      <c r="Y2" s="2" t="s">
        <v>214</v>
      </c>
      <c r="Z2" s="2" t="s">
        <v>214</v>
      </c>
      <c r="AA2" s="2" t="s">
        <v>214</v>
      </c>
      <c r="AB2" s="2" t="s">
        <v>214</v>
      </c>
      <c r="AC2" s="2" t="s">
        <v>214</v>
      </c>
      <c r="AD2" s="2" t="s">
        <v>214</v>
      </c>
      <c r="AE2" s="2" t="s">
        <v>214</v>
      </c>
      <c r="AF2" s="2" t="s">
        <v>214</v>
      </c>
      <c r="AG2" s="2" t="s">
        <v>214</v>
      </c>
      <c r="AH2" s="2" t="s">
        <v>214</v>
      </c>
      <c r="AI2" s="2" t="s">
        <v>214</v>
      </c>
      <c r="AJ2" s="2" t="s">
        <v>214</v>
      </c>
      <c r="AK2" s="2" t="s">
        <v>214</v>
      </c>
      <c r="AL2" s="2" t="s">
        <v>214</v>
      </c>
      <c r="AM2" s="2" t="s">
        <v>214</v>
      </c>
      <c r="AN2" s="2" t="s">
        <v>214</v>
      </c>
      <c r="AO2" s="2" t="s">
        <v>214</v>
      </c>
      <c r="AP2" s="2" t="s">
        <v>214</v>
      </c>
      <c r="AQ2" s="2" t="s">
        <v>214</v>
      </c>
      <c r="AR2" s="2" t="s">
        <v>215</v>
      </c>
      <c r="AS2" s="2" t="s">
        <v>11</v>
      </c>
      <c r="AT2" s="2" t="s">
        <v>11</v>
      </c>
      <c r="AU2" s="2" t="s">
        <v>11</v>
      </c>
      <c r="AV2" s="2" t="s">
        <v>18</v>
      </c>
      <c r="AW2" s="2" t="s">
        <v>11</v>
      </c>
      <c r="AX2" s="2" t="s">
        <v>18</v>
      </c>
      <c r="AY2" s="2" t="s">
        <v>11</v>
      </c>
      <c r="AZ2" s="2" t="s">
        <v>28</v>
      </c>
      <c r="BA2" s="2" t="s">
        <v>18</v>
      </c>
      <c r="BB2" s="2" t="s">
        <v>37</v>
      </c>
      <c r="BC2" s="2" t="s">
        <v>40</v>
      </c>
      <c r="BD2" s="2" t="s">
        <v>42</v>
      </c>
      <c r="BE2" s="2" t="s">
        <v>44</v>
      </c>
      <c r="BF2" s="2" t="s">
        <v>46</v>
      </c>
      <c r="BG2" s="2" t="s">
        <v>46</v>
      </c>
      <c r="BH2" s="2" t="s">
        <v>49</v>
      </c>
      <c r="BI2" s="2" t="s">
        <v>28</v>
      </c>
      <c r="BJ2" s="2" t="s">
        <v>18</v>
      </c>
      <c r="BK2" s="2" t="s">
        <v>37</v>
      </c>
      <c r="BL2" s="2" t="s">
        <v>40</v>
      </c>
      <c r="BM2" s="2" t="s">
        <v>42</v>
      </c>
      <c r="BN2" s="2" t="s">
        <v>44</v>
      </c>
      <c r="BO2" s="2" t="s">
        <v>46</v>
      </c>
      <c r="BP2" s="2" t="s">
        <v>46</v>
      </c>
      <c r="BQ2" s="2" t="s">
        <v>49</v>
      </c>
      <c r="BR2" s="2" t="s">
        <v>28</v>
      </c>
      <c r="BS2" s="2" t="s">
        <v>18</v>
      </c>
      <c r="BT2" s="2" t="s">
        <v>37</v>
      </c>
      <c r="BU2" s="2" t="s">
        <v>40</v>
      </c>
      <c r="BV2" s="2" t="s">
        <v>42</v>
      </c>
      <c r="BW2" s="2" t="s">
        <v>44</v>
      </c>
      <c r="BX2" s="2" t="s">
        <v>46</v>
      </c>
      <c r="BY2" s="2" t="s">
        <v>46</v>
      </c>
      <c r="BZ2" s="2" t="s">
        <v>49</v>
      </c>
      <c r="CA2" s="2" t="s">
        <v>28</v>
      </c>
      <c r="CB2" s="2" t="s">
        <v>18</v>
      </c>
      <c r="CC2" s="2" t="s">
        <v>37</v>
      </c>
      <c r="CD2" s="2" t="s">
        <v>40</v>
      </c>
      <c r="CE2" s="2" t="s">
        <v>42</v>
      </c>
      <c r="CF2" s="2" t="s">
        <v>44</v>
      </c>
      <c r="CG2" s="2" t="s">
        <v>46</v>
      </c>
      <c r="CH2" s="2" t="s">
        <v>46</v>
      </c>
      <c r="CI2" s="2" t="s">
        <v>49</v>
      </c>
      <c r="CJ2" s="2" t="s">
        <v>28</v>
      </c>
      <c r="CK2" s="2" t="s">
        <v>18</v>
      </c>
      <c r="CL2" s="2" t="s">
        <v>37</v>
      </c>
      <c r="CM2" s="2" t="s">
        <v>40</v>
      </c>
      <c r="CN2" s="2" t="s">
        <v>42</v>
      </c>
      <c r="CO2" s="2" t="s">
        <v>44</v>
      </c>
      <c r="CP2" s="2" t="s">
        <v>46</v>
      </c>
      <c r="CQ2" s="2" t="s">
        <v>46</v>
      </c>
      <c r="CR2" s="2" t="s">
        <v>49</v>
      </c>
      <c r="CS2" s="2" t="s">
        <v>28</v>
      </c>
      <c r="CT2" s="2" t="s">
        <v>18</v>
      </c>
      <c r="CU2" s="2" t="s">
        <v>11</v>
      </c>
      <c r="CV2" s="2" t="s">
        <v>11</v>
      </c>
      <c r="CW2" s="2" t="s">
        <v>62</v>
      </c>
      <c r="CX2" s="2" t="s">
        <v>64</v>
      </c>
      <c r="CY2" s="2" t="s">
        <v>64</v>
      </c>
      <c r="CZ2" s="2" t="s">
        <v>67</v>
      </c>
      <c r="DA2" s="2" t="s">
        <v>70</v>
      </c>
      <c r="DB2" s="2" t="s">
        <v>70</v>
      </c>
      <c r="DC2" s="2" t="s">
        <v>70</v>
      </c>
      <c r="DD2" s="2" t="s">
        <v>214</v>
      </c>
      <c r="DE2" s="2" t="s">
        <v>214</v>
      </c>
      <c r="DF2" s="2" t="s">
        <v>214</v>
      </c>
      <c r="DG2" s="2" t="s">
        <v>214</v>
      </c>
      <c r="DH2" s="2" t="s">
        <v>79</v>
      </c>
      <c r="DI2" s="2" t="s">
        <v>214</v>
      </c>
      <c r="DJ2" s="2" t="s">
        <v>83</v>
      </c>
      <c r="DK2" s="2" t="s">
        <v>86</v>
      </c>
      <c r="DL2" s="2" t="s">
        <v>49</v>
      </c>
      <c r="DM2" s="2" t="s">
        <v>89</v>
      </c>
      <c r="DN2" s="2" t="s">
        <v>91</v>
      </c>
      <c r="DO2" s="2" t="s">
        <v>92</v>
      </c>
    </row>
    <row r="3" spans="1:119" ht="41.25" customHeight="1" x14ac:dyDescent="0.35">
      <c r="A3" s="2" t="s">
        <v>23</v>
      </c>
      <c r="B3" s="2" t="s">
        <v>22</v>
      </c>
      <c r="C3" s="2" t="s">
        <v>22</v>
      </c>
      <c r="D3" s="2" t="s">
        <v>27</v>
      </c>
      <c r="E3" s="2" t="s">
        <v>50</v>
      </c>
      <c r="F3" s="2" t="s">
        <v>10</v>
      </c>
      <c r="G3" s="22" t="s">
        <v>71</v>
      </c>
      <c r="H3" s="2" t="s">
        <v>75</v>
      </c>
      <c r="I3" s="2" t="s">
        <v>82</v>
      </c>
      <c r="J3" s="2" t="s">
        <v>90</v>
      </c>
      <c r="K3" s="2" t="s">
        <v>216</v>
      </c>
      <c r="N3" s="2" t="s">
        <v>24</v>
      </c>
      <c r="O3" s="2" t="s">
        <v>24</v>
      </c>
      <c r="Q3" s="2" t="s">
        <v>32</v>
      </c>
      <c r="R3" s="2" t="s">
        <v>32</v>
      </c>
      <c r="S3" s="2" t="s">
        <v>32</v>
      </c>
      <c r="T3" s="2" t="s">
        <v>32</v>
      </c>
      <c r="U3" s="2" t="s">
        <v>32</v>
      </c>
      <c r="V3" s="2" t="s">
        <v>32</v>
      </c>
      <c r="AR3" s="2" t="s">
        <v>217</v>
      </c>
      <c r="AS3" s="2" t="s">
        <v>12</v>
      </c>
      <c r="AT3" s="2" t="s">
        <v>12</v>
      </c>
      <c r="AU3" s="2" t="s">
        <v>12</v>
      </c>
      <c r="AV3" s="2" t="s">
        <v>19</v>
      </c>
      <c r="AW3" s="2" t="s">
        <v>12</v>
      </c>
      <c r="AX3" s="2" t="s">
        <v>19</v>
      </c>
      <c r="AY3" s="2" t="s">
        <v>12</v>
      </c>
      <c r="AZ3" s="2" t="s">
        <v>29</v>
      </c>
      <c r="BA3" s="2" t="s">
        <v>19</v>
      </c>
      <c r="BB3" s="2" t="s">
        <v>38</v>
      </c>
      <c r="BI3" s="2" t="s">
        <v>29</v>
      </c>
      <c r="BJ3" s="2" t="s">
        <v>19</v>
      </c>
      <c r="BK3" s="2" t="s">
        <v>38</v>
      </c>
      <c r="BR3" s="2" t="s">
        <v>29</v>
      </c>
      <c r="BS3" s="2" t="s">
        <v>19</v>
      </c>
      <c r="BT3" s="2" t="s">
        <v>38</v>
      </c>
      <c r="CA3" s="2" t="s">
        <v>29</v>
      </c>
      <c r="CB3" s="2" t="s">
        <v>19</v>
      </c>
      <c r="CC3" s="2" t="s">
        <v>38</v>
      </c>
      <c r="CJ3" s="2" t="s">
        <v>29</v>
      </c>
      <c r="CK3" s="2" t="s">
        <v>19</v>
      </c>
      <c r="CL3" s="2" t="s">
        <v>38</v>
      </c>
      <c r="CS3" s="2" t="s">
        <v>29</v>
      </c>
      <c r="CT3" s="2" t="s">
        <v>19</v>
      </c>
      <c r="CU3" s="2" t="s">
        <v>54</v>
      </c>
      <c r="CV3" s="2" t="s">
        <v>54</v>
      </c>
      <c r="DJ3" s="2" t="s">
        <v>84</v>
      </c>
      <c r="DO3" s="2" t="s">
        <v>93</v>
      </c>
    </row>
    <row r="4" spans="1:119" ht="15" customHeight="1" x14ac:dyDescent="0.35">
      <c r="A4" s="2" t="s">
        <v>25</v>
      </c>
      <c r="E4" s="2" t="s">
        <v>22</v>
      </c>
      <c r="F4" s="2" t="s">
        <v>61</v>
      </c>
      <c r="G4" s="2" t="s">
        <v>218</v>
      </c>
      <c r="H4" s="2" t="s">
        <v>76</v>
      </c>
      <c r="I4" s="2" t="s">
        <v>85</v>
      </c>
      <c r="J4" s="2" t="s">
        <v>214</v>
      </c>
      <c r="K4" s="2" t="s">
        <v>219</v>
      </c>
      <c r="Q4" s="2" t="s">
        <v>36</v>
      </c>
      <c r="R4" s="2" t="s">
        <v>36</v>
      </c>
      <c r="S4" s="2" t="s">
        <v>36</v>
      </c>
      <c r="T4" s="2" t="s">
        <v>36</v>
      </c>
      <c r="U4" s="2" t="s">
        <v>36</v>
      </c>
      <c r="AR4" s="2" t="s">
        <v>220</v>
      </c>
      <c r="AS4" s="2" t="s">
        <v>13</v>
      </c>
      <c r="AT4" s="2" t="s">
        <v>13</v>
      </c>
      <c r="AU4" s="2" t="s">
        <v>13</v>
      </c>
      <c r="AW4" s="2" t="s">
        <v>13</v>
      </c>
      <c r="AY4" s="2" t="s">
        <v>13</v>
      </c>
      <c r="AZ4" s="2" t="s">
        <v>30</v>
      </c>
      <c r="BA4" s="2" t="s">
        <v>33</v>
      </c>
      <c r="BI4" s="2" t="s">
        <v>30</v>
      </c>
      <c r="BJ4" s="2" t="s">
        <v>33</v>
      </c>
      <c r="BR4" s="2" t="s">
        <v>30</v>
      </c>
      <c r="BS4" s="2" t="s">
        <v>33</v>
      </c>
      <c r="CA4" s="2" t="s">
        <v>30</v>
      </c>
      <c r="CB4" s="2" t="s">
        <v>33</v>
      </c>
      <c r="CJ4" s="2" t="s">
        <v>30</v>
      </c>
      <c r="CK4" s="2" t="s">
        <v>33</v>
      </c>
      <c r="CS4" s="2" t="s">
        <v>30</v>
      </c>
      <c r="CT4" s="2" t="s">
        <v>33</v>
      </c>
      <c r="CU4" s="2" t="s">
        <v>55</v>
      </c>
      <c r="CV4" s="2" t="s">
        <v>55</v>
      </c>
    </row>
    <row r="5" spans="1:119" ht="15" customHeight="1" x14ac:dyDescent="0.35">
      <c r="A5" s="2" t="s">
        <v>26</v>
      </c>
      <c r="E5" s="2" t="s">
        <v>51</v>
      </c>
      <c r="F5" s="2" t="s">
        <v>63</v>
      </c>
      <c r="H5" s="2" t="s">
        <v>77</v>
      </c>
      <c r="I5" s="2" t="s">
        <v>214</v>
      </c>
      <c r="K5" s="2" t="s">
        <v>221</v>
      </c>
      <c r="Q5" s="2" t="s">
        <v>39</v>
      </c>
      <c r="R5" s="2" t="s">
        <v>39</v>
      </c>
      <c r="S5" s="2" t="s">
        <v>39</v>
      </c>
      <c r="T5" s="2" t="s">
        <v>39</v>
      </c>
      <c r="U5" s="2" t="s">
        <v>39</v>
      </c>
      <c r="AR5" s="2" t="s">
        <v>222</v>
      </c>
      <c r="AS5" s="2" t="s">
        <v>14</v>
      </c>
      <c r="AT5" s="2" t="s">
        <v>14</v>
      </c>
      <c r="AU5" s="2" t="s">
        <v>14</v>
      </c>
      <c r="AW5" s="2" t="s">
        <v>14</v>
      </c>
      <c r="AY5" s="2" t="s">
        <v>14</v>
      </c>
      <c r="AZ5" s="2" t="s">
        <v>13</v>
      </c>
      <c r="BA5" s="2" t="s">
        <v>34</v>
      </c>
      <c r="BI5" s="2" t="s">
        <v>13</v>
      </c>
      <c r="BJ5" s="2" t="s">
        <v>34</v>
      </c>
      <c r="BR5" s="2" t="s">
        <v>13</v>
      </c>
      <c r="BS5" s="2" t="s">
        <v>34</v>
      </c>
      <c r="CA5" s="2" t="s">
        <v>13</v>
      </c>
      <c r="CB5" s="2" t="s">
        <v>34</v>
      </c>
      <c r="CJ5" s="2" t="s">
        <v>13</v>
      </c>
      <c r="CK5" s="2" t="s">
        <v>34</v>
      </c>
      <c r="CS5" s="2" t="s">
        <v>13</v>
      </c>
      <c r="CT5" s="2" t="s">
        <v>34</v>
      </c>
      <c r="CU5" s="2" t="s">
        <v>56</v>
      </c>
      <c r="CV5" s="2" t="s">
        <v>60</v>
      </c>
    </row>
    <row r="6" spans="1:119" ht="15" customHeight="1" x14ac:dyDescent="0.35">
      <c r="A6" s="2" t="s">
        <v>53</v>
      </c>
      <c r="E6" s="2" t="s">
        <v>52</v>
      </c>
      <c r="F6" s="2" t="s">
        <v>65</v>
      </c>
      <c r="H6" s="2" t="s">
        <v>78</v>
      </c>
      <c r="K6" s="2" t="s">
        <v>223</v>
      </c>
      <c r="Q6" s="2" t="s">
        <v>41</v>
      </c>
      <c r="R6" s="2" t="s">
        <v>41</v>
      </c>
      <c r="S6" s="2" t="s">
        <v>41</v>
      </c>
      <c r="T6" s="2" t="s">
        <v>41</v>
      </c>
      <c r="U6" s="2" t="s">
        <v>41</v>
      </c>
      <c r="AR6" s="2" t="s">
        <v>224</v>
      </c>
      <c r="AS6" s="2" t="s">
        <v>15</v>
      </c>
      <c r="AT6" s="2" t="s">
        <v>15</v>
      </c>
      <c r="AU6" s="2" t="s">
        <v>15</v>
      </c>
      <c r="AW6" s="2" t="s">
        <v>15</v>
      </c>
      <c r="AY6" s="2" t="s">
        <v>15</v>
      </c>
      <c r="AZ6" s="2" t="s">
        <v>31</v>
      </c>
      <c r="BA6" s="2" t="s">
        <v>35</v>
      </c>
      <c r="BI6" s="2" t="s">
        <v>31</v>
      </c>
      <c r="BJ6" s="2" t="s">
        <v>35</v>
      </c>
      <c r="BR6" s="2" t="s">
        <v>31</v>
      </c>
      <c r="BS6" s="2" t="s">
        <v>35</v>
      </c>
      <c r="CA6" s="2" t="s">
        <v>31</v>
      </c>
      <c r="CB6" s="2" t="s">
        <v>35</v>
      </c>
      <c r="CJ6" s="2" t="s">
        <v>31</v>
      </c>
      <c r="CK6" s="2" t="s">
        <v>35</v>
      </c>
      <c r="CS6" s="2" t="s">
        <v>31</v>
      </c>
      <c r="CT6" s="2" t="s">
        <v>35</v>
      </c>
      <c r="CU6" s="2" t="s">
        <v>19</v>
      </c>
      <c r="CV6" s="2" t="s">
        <v>56</v>
      </c>
    </row>
    <row r="7" spans="1:119" ht="15" customHeight="1" x14ac:dyDescent="0.35">
      <c r="A7" s="2" t="s">
        <v>68</v>
      </c>
      <c r="F7" s="2" t="s">
        <v>66</v>
      </c>
      <c r="K7" s="2" t="s">
        <v>225</v>
      </c>
      <c r="Q7" s="2" t="s">
        <v>43</v>
      </c>
      <c r="R7" s="2" t="s">
        <v>43</v>
      </c>
      <c r="S7" s="2" t="s">
        <v>43</v>
      </c>
      <c r="T7" s="2" t="s">
        <v>43</v>
      </c>
      <c r="U7" s="2" t="s">
        <v>43</v>
      </c>
      <c r="AR7" s="2" t="s">
        <v>226</v>
      </c>
      <c r="AS7" s="2" t="s">
        <v>16</v>
      </c>
      <c r="AT7" s="2" t="s">
        <v>16</v>
      </c>
      <c r="AU7" s="2" t="s">
        <v>16</v>
      </c>
      <c r="AW7" s="2" t="s">
        <v>16</v>
      </c>
      <c r="AY7" s="2" t="s">
        <v>16</v>
      </c>
      <c r="AZ7" s="2" t="s">
        <v>15</v>
      </c>
      <c r="BI7" s="2" t="s">
        <v>15</v>
      </c>
      <c r="BR7" s="2" t="s">
        <v>15</v>
      </c>
      <c r="CA7" s="2" t="s">
        <v>15</v>
      </c>
      <c r="CJ7" s="2" t="s">
        <v>15</v>
      </c>
      <c r="CS7" s="2" t="s">
        <v>15</v>
      </c>
      <c r="CU7" s="2" t="s">
        <v>20</v>
      </c>
      <c r="CV7" s="2" t="s">
        <v>19</v>
      </c>
    </row>
    <row r="8" spans="1:119" ht="15" customHeight="1" x14ac:dyDescent="0.35">
      <c r="A8" s="2" t="s">
        <v>73</v>
      </c>
      <c r="K8" s="2" t="s">
        <v>227</v>
      </c>
      <c r="Q8" s="2" t="s">
        <v>45</v>
      </c>
      <c r="R8" s="2" t="s">
        <v>45</v>
      </c>
      <c r="S8" s="2" t="s">
        <v>45</v>
      </c>
      <c r="T8" s="2" t="s">
        <v>45</v>
      </c>
      <c r="U8" s="2" t="s">
        <v>45</v>
      </c>
      <c r="AR8" s="2" t="s">
        <v>228</v>
      </c>
      <c r="AS8" s="2" t="s">
        <v>17</v>
      </c>
      <c r="AT8" s="2" t="s">
        <v>17</v>
      </c>
      <c r="AU8" s="2" t="s">
        <v>17</v>
      </c>
      <c r="AW8" s="2" t="s">
        <v>17</v>
      </c>
      <c r="AY8" s="2" t="s">
        <v>17</v>
      </c>
      <c r="AZ8" s="2" t="s">
        <v>16</v>
      </c>
      <c r="BI8" s="2" t="s">
        <v>16</v>
      </c>
      <c r="BR8" s="2" t="s">
        <v>16</v>
      </c>
      <c r="CA8" s="2" t="s">
        <v>16</v>
      </c>
      <c r="CJ8" s="2" t="s">
        <v>16</v>
      </c>
      <c r="CS8" s="2" t="s">
        <v>16</v>
      </c>
      <c r="CU8" s="2" t="s">
        <v>57</v>
      </c>
      <c r="CV8" s="2" t="s">
        <v>20</v>
      </c>
    </row>
    <row r="9" spans="1:119" ht="15" customHeight="1" x14ac:dyDescent="0.35">
      <c r="A9" s="2" t="s">
        <v>80</v>
      </c>
      <c r="K9" s="2" t="s">
        <v>229</v>
      </c>
      <c r="Q9" s="2" t="s">
        <v>47</v>
      </c>
      <c r="R9" s="2" t="s">
        <v>47</v>
      </c>
      <c r="S9" s="2" t="s">
        <v>47</v>
      </c>
      <c r="T9" s="2" t="s">
        <v>47</v>
      </c>
      <c r="U9" s="2" t="s">
        <v>47</v>
      </c>
      <c r="AR9" s="2" t="s">
        <v>230</v>
      </c>
      <c r="AS9" s="2" t="s">
        <v>18</v>
      </c>
      <c r="AT9" s="2" t="s">
        <v>18</v>
      </c>
      <c r="AU9" s="2" t="s">
        <v>18</v>
      </c>
      <c r="AW9" s="2" t="s">
        <v>18</v>
      </c>
      <c r="AY9" s="2" t="s">
        <v>21</v>
      </c>
      <c r="AZ9" s="2" t="s">
        <v>17</v>
      </c>
      <c r="BI9" s="2" t="s">
        <v>17</v>
      </c>
      <c r="BR9" s="2" t="s">
        <v>17</v>
      </c>
      <c r="CA9" s="2" t="s">
        <v>17</v>
      </c>
      <c r="CJ9" s="2" t="s">
        <v>17</v>
      </c>
      <c r="CS9" s="2" t="s">
        <v>17</v>
      </c>
      <c r="CU9" s="2" t="s">
        <v>58</v>
      </c>
      <c r="CV9" s="2" t="s">
        <v>57</v>
      </c>
    </row>
    <row r="10" spans="1:119" ht="15" customHeight="1" x14ac:dyDescent="0.35">
      <c r="A10" s="2" t="s">
        <v>87</v>
      </c>
      <c r="K10" s="2" t="s">
        <v>231</v>
      </c>
      <c r="Q10" s="2" t="s">
        <v>48</v>
      </c>
      <c r="R10" s="2" t="s">
        <v>48</v>
      </c>
      <c r="S10" s="2" t="s">
        <v>48</v>
      </c>
      <c r="T10" s="2" t="s">
        <v>48</v>
      </c>
      <c r="U10" s="2" t="s">
        <v>48</v>
      </c>
      <c r="AR10" s="2" t="s">
        <v>232</v>
      </c>
      <c r="AS10" s="2" t="s">
        <v>19</v>
      </c>
      <c r="AT10" s="2" t="s">
        <v>19</v>
      </c>
      <c r="AU10" s="2" t="s">
        <v>19</v>
      </c>
      <c r="AW10" s="2" t="s">
        <v>19</v>
      </c>
      <c r="AZ10" s="2" t="s">
        <v>18</v>
      </c>
      <c r="BI10" s="2" t="s">
        <v>18</v>
      </c>
      <c r="BR10" s="2" t="s">
        <v>18</v>
      </c>
      <c r="CA10" s="2" t="s">
        <v>18</v>
      </c>
      <c r="CJ10" s="2" t="s">
        <v>18</v>
      </c>
      <c r="CS10" s="2" t="s">
        <v>18</v>
      </c>
      <c r="CU10" s="2" t="s">
        <v>59</v>
      </c>
      <c r="CV10" s="2" t="s">
        <v>58</v>
      </c>
    </row>
    <row r="11" spans="1:119" ht="15" customHeight="1" x14ac:dyDescent="0.35">
      <c r="K11" s="2" t="s">
        <v>233</v>
      </c>
      <c r="AR11" s="2" t="s">
        <v>234</v>
      </c>
      <c r="AS11" s="2" t="s">
        <v>20</v>
      </c>
      <c r="AT11" s="2" t="s">
        <v>20</v>
      </c>
      <c r="AU11" s="2" t="s">
        <v>20</v>
      </c>
      <c r="AW11" s="2" t="s">
        <v>20</v>
      </c>
      <c r="AZ11" s="2" t="s">
        <v>19</v>
      </c>
      <c r="BI11" s="2" t="s">
        <v>19</v>
      </c>
      <c r="BR11" s="2" t="s">
        <v>19</v>
      </c>
      <c r="CA11" s="2" t="s">
        <v>19</v>
      </c>
      <c r="CJ11" s="2" t="s">
        <v>19</v>
      </c>
      <c r="CS11" s="2" t="s">
        <v>19</v>
      </c>
      <c r="CV11" s="2" t="s">
        <v>59</v>
      </c>
    </row>
    <row r="12" spans="1:119" ht="15" customHeight="1" x14ac:dyDescent="0.35">
      <c r="K12" s="2" t="s">
        <v>235</v>
      </c>
      <c r="AR12" s="2" t="s">
        <v>236</v>
      </c>
      <c r="AS12" s="2" t="s">
        <v>21</v>
      </c>
      <c r="AT12" s="2" t="s">
        <v>21</v>
      </c>
      <c r="AU12" s="2" t="s">
        <v>21</v>
      </c>
      <c r="AW12" s="2" t="s">
        <v>21</v>
      </c>
      <c r="AZ12" s="2" t="s">
        <v>20</v>
      </c>
      <c r="BI12" s="2" t="s">
        <v>20</v>
      </c>
      <c r="BR12" s="2" t="s">
        <v>20</v>
      </c>
      <c r="CA12" s="2" t="s">
        <v>20</v>
      </c>
      <c r="CJ12" s="2" t="s">
        <v>20</v>
      </c>
      <c r="CS12" s="2" t="s">
        <v>20</v>
      </c>
    </row>
    <row r="13" spans="1:119" ht="15" customHeight="1" x14ac:dyDescent="0.35">
      <c r="K13" s="2" t="s">
        <v>237</v>
      </c>
      <c r="AR13" s="2" t="s">
        <v>238</v>
      </c>
      <c r="AZ13" s="2" t="s">
        <v>21</v>
      </c>
      <c r="BI13" s="2" t="s">
        <v>21</v>
      </c>
      <c r="BR13" s="2" t="s">
        <v>21</v>
      </c>
      <c r="CA13" s="2" t="s">
        <v>21</v>
      </c>
      <c r="CJ13" s="2" t="s">
        <v>21</v>
      </c>
      <c r="CS13" s="2" t="s">
        <v>21</v>
      </c>
    </row>
    <row r="14" spans="1:119" ht="15" customHeight="1" x14ac:dyDescent="0.35">
      <c r="K14" s="2" t="s">
        <v>239</v>
      </c>
      <c r="AR14" s="2" t="s">
        <v>240</v>
      </c>
    </row>
    <row r="15" spans="1:119" ht="15" customHeight="1" x14ac:dyDescent="0.35">
      <c r="K15" s="2" t="s">
        <v>241</v>
      </c>
      <c r="AR15" s="2" t="s">
        <v>242</v>
      </c>
    </row>
    <row r="16" spans="1:119" ht="15" customHeight="1" x14ac:dyDescent="0.35">
      <c r="K16" s="2" t="s">
        <v>243</v>
      </c>
      <c r="AR16" s="2" t="s">
        <v>244</v>
      </c>
    </row>
    <row r="17" spans="11:44" ht="15" customHeight="1" x14ac:dyDescent="0.35">
      <c r="K17" s="2" t="s">
        <v>245</v>
      </c>
      <c r="AR17" s="2" t="s">
        <v>246</v>
      </c>
    </row>
    <row r="18" spans="11:44" ht="15" customHeight="1" x14ac:dyDescent="0.35">
      <c r="K18" s="2" t="s">
        <v>247</v>
      </c>
      <c r="AR18" s="2" t="s">
        <v>248</v>
      </c>
    </row>
    <row r="19" spans="11:44" ht="15" customHeight="1" x14ac:dyDescent="0.35">
      <c r="K19" s="2" t="s">
        <v>249</v>
      </c>
      <c r="AR19" s="2" t="s">
        <v>250</v>
      </c>
    </row>
    <row r="20" spans="11:44" ht="41.25" customHeight="1" x14ac:dyDescent="0.35">
      <c r="K20" s="22" t="s">
        <v>251</v>
      </c>
      <c r="AR20" s="2" t="s">
        <v>252</v>
      </c>
    </row>
    <row r="21" spans="11:44" ht="15" customHeight="1" x14ac:dyDescent="0.35">
      <c r="K21" s="2" t="s">
        <v>253</v>
      </c>
      <c r="AR21" s="2" t="s">
        <v>254</v>
      </c>
    </row>
    <row r="22" spans="11:44" ht="15" customHeight="1" x14ac:dyDescent="0.35">
      <c r="K22" s="2" t="s">
        <v>255</v>
      </c>
      <c r="AR22" s="2" t="s">
        <v>256</v>
      </c>
    </row>
    <row r="23" spans="11:44" ht="15" customHeight="1" x14ac:dyDescent="0.35">
      <c r="K23" s="2" t="s">
        <v>257</v>
      </c>
      <c r="AR23" s="2" t="s">
        <v>258</v>
      </c>
    </row>
    <row r="24" spans="11:44" ht="15" customHeight="1" x14ac:dyDescent="0.35">
      <c r="K24" s="2" t="s">
        <v>259</v>
      </c>
      <c r="AR24" s="2" t="s">
        <v>260</v>
      </c>
    </row>
    <row r="25" spans="11:44" ht="15" customHeight="1" x14ac:dyDescent="0.35">
      <c r="K25" s="2" t="s">
        <v>261</v>
      </c>
      <c r="AR25" s="2" t="s">
        <v>262</v>
      </c>
    </row>
    <row r="26" spans="11:44" ht="15" customHeight="1" x14ac:dyDescent="0.35">
      <c r="K26" s="2" t="s">
        <v>263</v>
      </c>
      <c r="AR26" s="2" t="s">
        <v>264</v>
      </c>
    </row>
    <row r="27" spans="11:44" ht="15" customHeight="1" x14ac:dyDescent="0.35">
      <c r="K27" s="2" t="s">
        <v>265</v>
      </c>
      <c r="AR27" s="2" t="s">
        <v>266</v>
      </c>
    </row>
    <row r="28" spans="11:44" ht="15" customHeight="1" x14ac:dyDescent="0.35">
      <c r="K28" s="2" t="s">
        <v>267</v>
      </c>
      <c r="AR28" s="2" t="s">
        <v>268</v>
      </c>
    </row>
    <row r="29" spans="11:44" ht="15" customHeight="1" x14ac:dyDescent="0.35">
      <c r="K29" s="2" t="s">
        <v>269</v>
      </c>
      <c r="AR29" s="2" t="s">
        <v>270</v>
      </c>
    </row>
    <row r="30" spans="11:44" ht="15" customHeight="1" x14ac:dyDescent="0.35">
      <c r="K30" s="2" t="s">
        <v>271</v>
      </c>
      <c r="AR30" s="2" t="s">
        <v>272</v>
      </c>
    </row>
    <row r="31" spans="11:44" ht="15" customHeight="1" x14ac:dyDescent="0.35">
      <c r="K31" s="2" t="s">
        <v>273</v>
      </c>
      <c r="AR31" s="2" t="s">
        <v>274</v>
      </c>
    </row>
    <row r="32" spans="11:44" ht="15" customHeight="1" x14ac:dyDescent="0.35">
      <c r="K32" s="2" t="s">
        <v>275</v>
      </c>
      <c r="AR32" s="2" t="s">
        <v>276</v>
      </c>
    </row>
    <row r="33" spans="11:44" ht="15" customHeight="1" x14ac:dyDescent="0.35">
      <c r="K33" s="2" t="s">
        <v>277</v>
      </c>
      <c r="AR33" s="2" t="s">
        <v>278</v>
      </c>
    </row>
    <row r="34" spans="11:44" ht="15" customHeight="1" x14ac:dyDescent="0.35">
      <c r="AR34" s="2" t="s">
        <v>279</v>
      </c>
    </row>
    <row r="35" spans="11:44" ht="15" customHeight="1" x14ac:dyDescent="0.35">
      <c r="AR35" s="2" t="s">
        <v>280</v>
      </c>
    </row>
    <row r="36" spans="11:44" ht="15" customHeight="1" x14ac:dyDescent="0.35">
      <c r="AR36" s="2" t="s">
        <v>281</v>
      </c>
    </row>
    <row r="37" spans="11:44" ht="15" customHeight="1" x14ac:dyDescent="0.35">
      <c r="AR37" s="2" t="s">
        <v>282</v>
      </c>
    </row>
    <row r="38" spans="11:44" ht="15" customHeight="1" x14ac:dyDescent="0.35">
      <c r="AR38" s="2" t="s">
        <v>283</v>
      </c>
    </row>
    <row r="39" spans="11:44" ht="15" customHeight="1" x14ac:dyDescent="0.35">
      <c r="AR39" s="2" t="s">
        <v>284</v>
      </c>
    </row>
    <row r="40" spans="11:44" ht="15" customHeight="1" x14ac:dyDescent="0.35">
      <c r="AR40" s="2" t="s">
        <v>285</v>
      </c>
    </row>
    <row r="41" spans="11:44" ht="15" customHeight="1" x14ac:dyDescent="0.35">
      <c r="AR41" s="2" t="s">
        <v>286</v>
      </c>
    </row>
    <row r="42" spans="11:44" ht="15" customHeight="1" x14ac:dyDescent="0.35">
      <c r="AR42" s="2" t="s">
        <v>287</v>
      </c>
    </row>
    <row r="43" spans="11:44" ht="15" customHeight="1" x14ac:dyDescent="0.35">
      <c r="AR43" s="2" t="s">
        <v>288</v>
      </c>
    </row>
    <row r="44" spans="11:44" ht="15" customHeight="1" x14ac:dyDescent="0.35">
      <c r="AR44" s="2" t="s">
        <v>289</v>
      </c>
    </row>
    <row r="45" spans="11:44" ht="15" customHeight="1" x14ac:dyDescent="0.35">
      <c r="AR45" s="2" t="s">
        <v>290</v>
      </c>
    </row>
    <row r="46" spans="11:44" ht="15" customHeight="1" x14ac:dyDescent="0.35">
      <c r="AR46" s="2" t="s">
        <v>291</v>
      </c>
    </row>
    <row r="47" spans="11:44" ht="15" customHeight="1" x14ac:dyDescent="0.35">
      <c r="AR47" s="2" t="s">
        <v>292</v>
      </c>
    </row>
    <row r="48" spans="11:44" ht="15" customHeight="1" x14ac:dyDescent="0.35">
      <c r="AR48" s="2" t="s">
        <v>293</v>
      </c>
    </row>
    <row r="49" spans="44:44" ht="15" customHeight="1" x14ac:dyDescent="0.35">
      <c r="AR49" s="2" t="s">
        <v>294</v>
      </c>
    </row>
    <row r="50" spans="44:44" ht="15" customHeight="1" x14ac:dyDescent="0.35">
      <c r="AR50" s="2" t="s">
        <v>295</v>
      </c>
    </row>
    <row r="51" spans="44:44" ht="15" customHeight="1" x14ac:dyDescent="0.35">
      <c r="AR51" s="2" t="s">
        <v>296</v>
      </c>
    </row>
    <row r="52" spans="44:44" ht="15" customHeight="1" x14ac:dyDescent="0.35">
      <c r="AR52" s="2" t="s">
        <v>297</v>
      </c>
    </row>
    <row r="53" spans="44:44" ht="15" customHeight="1" x14ac:dyDescent="0.35">
      <c r="AR53" s="2" t="s">
        <v>298</v>
      </c>
    </row>
    <row r="54" spans="44:44" ht="15" customHeight="1" x14ac:dyDescent="0.35">
      <c r="AR54" s="2" t="s">
        <v>299</v>
      </c>
    </row>
    <row r="55" spans="44:44" ht="15" customHeight="1" x14ac:dyDescent="0.35">
      <c r="AR55" s="2" t="s">
        <v>300</v>
      </c>
    </row>
    <row r="56" spans="44:44" ht="15" customHeight="1" x14ac:dyDescent="0.35">
      <c r="AR56" s="2" t="s">
        <v>301</v>
      </c>
    </row>
    <row r="57" spans="44:44" ht="15" customHeight="1" x14ac:dyDescent="0.35">
      <c r="AR57" s="2" t="s">
        <v>302</v>
      </c>
    </row>
    <row r="58" spans="44:44" ht="15" customHeight="1" x14ac:dyDescent="0.35">
      <c r="AR58" s="2" t="s">
        <v>303</v>
      </c>
    </row>
    <row r="59" spans="44:44" ht="15" customHeight="1" x14ac:dyDescent="0.35">
      <c r="AR59" s="2" t="s">
        <v>304</v>
      </c>
    </row>
    <row r="60" spans="44:44" ht="15" customHeight="1" x14ac:dyDescent="0.35">
      <c r="AR60" s="2" t="s">
        <v>305</v>
      </c>
    </row>
    <row r="61" spans="44:44" ht="15" customHeight="1" x14ac:dyDescent="0.35">
      <c r="AR61" s="2" t="s">
        <v>306</v>
      </c>
    </row>
    <row r="62" spans="44:44" ht="15" customHeight="1" x14ac:dyDescent="0.35">
      <c r="AR62" s="2" t="s">
        <v>307</v>
      </c>
    </row>
    <row r="63" spans="44:44" ht="41.25" customHeight="1" x14ac:dyDescent="0.35">
      <c r="AR63" s="22" t="s">
        <v>308</v>
      </c>
    </row>
    <row r="64" spans="44:44" ht="15" customHeight="1" x14ac:dyDescent="0.35">
      <c r="AR64" s="2" t="s">
        <v>309</v>
      </c>
    </row>
    <row r="65" spans="44:44" ht="15" customHeight="1" x14ac:dyDescent="0.35">
      <c r="AR65" s="2" t="s">
        <v>310</v>
      </c>
    </row>
    <row r="66" spans="44:44" ht="15" customHeight="1" x14ac:dyDescent="0.35">
      <c r="AR66" s="2" t="s">
        <v>311</v>
      </c>
    </row>
    <row r="67" spans="44:44" ht="15" customHeight="1" x14ac:dyDescent="0.35">
      <c r="AR67" s="2" t="s">
        <v>312</v>
      </c>
    </row>
    <row r="68" spans="44:44" ht="15" customHeight="1" x14ac:dyDescent="0.35">
      <c r="AR68" s="2" t="s">
        <v>313</v>
      </c>
    </row>
    <row r="69" spans="44:44" ht="15" customHeight="1" x14ac:dyDescent="0.35">
      <c r="AR69" s="2" t="s">
        <v>314</v>
      </c>
    </row>
    <row r="70" spans="44:44" ht="15" customHeight="1" x14ac:dyDescent="0.35">
      <c r="AR70" s="2" t="s">
        <v>315</v>
      </c>
    </row>
    <row r="71" spans="44:44" ht="15" customHeight="1" x14ac:dyDescent="0.35">
      <c r="AR71" s="2" t="s">
        <v>316</v>
      </c>
    </row>
    <row r="72" spans="44:44" ht="15" customHeight="1" x14ac:dyDescent="0.35">
      <c r="AR72" s="2" t="s">
        <v>317</v>
      </c>
    </row>
    <row r="73" spans="44:44" ht="15" customHeight="1" x14ac:dyDescent="0.35">
      <c r="AR73" s="2" t="s">
        <v>318</v>
      </c>
    </row>
    <row r="74" spans="44:44" ht="15" customHeight="1" x14ac:dyDescent="0.35">
      <c r="AR74" s="2" t="s">
        <v>319</v>
      </c>
    </row>
    <row r="75" spans="44:44" ht="15" customHeight="1" x14ac:dyDescent="0.35">
      <c r="AR75" s="2" t="s">
        <v>320</v>
      </c>
    </row>
    <row r="76" spans="44:44" ht="15" customHeight="1" x14ac:dyDescent="0.35">
      <c r="AR76" s="2" t="s">
        <v>321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239"/>
  <sheetViews>
    <sheetView zoomScaleNormal="100" workbookViewId="0"/>
  </sheetViews>
  <sheetFormatPr defaultColWidth="8.7265625" defaultRowHeight="14.5" x14ac:dyDescent="0.35"/>
  <sheetData>
    <row r="1" spans="1:6" ht="1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322</v>
      </c>
      <c r="F1" s="2" t="s">
        <v>323</v>
      </c>
    </row>
    <row r="2" spans="1:6" ht="15" customHeight="1" x14ac:dyDescent="0.35">
      <c r="A2" s="2" t="s">
        <v>8</v>
      </c>
      <c r="B2" s="2" t="s">
        <v>9</v>
      </c>
      <c r="C2" s="2" t="s">
        <v>10</v>
      </c>
      <c r="D2" s="2" t="s">
        <v>11</v>
      </c>
      <c r="E2" s="2">
        <v>1990</v>
      </c>
      <c r="F2" s="2" t="s">
        <v>324</v>
      </c>
    </row>
    <row r="3" spans="1:6" ht="15" customHeight="1" x14ac:dyDescent="0.35">
      <c r="A3" s="2" t="s">
        <v>8</v>
      </c>
      <c r="B3" s="2" t="s">
        <v>9</v>
      </c>
      <c r="C3" s="2" t="s">
        <v>10</v>
      </c>
      <c r="D3" s="2" t="s">
        <v>12</v>
      </c>
      <c r="E3" s="2">
        <v>2230</v>
      </c>
      <c r="F3" s="2" t="s">
        <v>325</v>
      </c>
    </row>
    <row r="4" spans="1:6" ht="15" customHeight="1" x14ac:dyDescent="0.35">
      <c r="A4" s="2" t="s">
        <v>8</v>
      </c>
      <c r="B4" s="2" t="s">
        <v>9</v>
      </c>
      <c r="C4" s="2" t="s">
        <v>10</v>
      </c>
      <c r="D4" s="2" t="s">
        <v>13</v>
      </c>
      <c r="E4" s="2">
        <v>3200</v>
      </c>
      <c r="F4" s="2" t="s">
        <v>326</v>
      </c>
    </row>
    <row r="5" spans="1:6" ht="15" customHeight="1" x14ac:dyDescent="0.35">
      <c r="A5" s="2" t="s">
        <v>8</v>
      </c>
      <c r="B5" s="2" t="s">
        <v>9</v>
      </c>
      <c r="C5" s="2" t="s">
        <v>10</v>
      </c>
      <c r="D5" s="2" t="s">
        <v>14</v>
      </c>
      <c r="E5" s="2">
        <v>2480</v>
      </c>
      <c r="F5" s="2" t="s">
        <v>327</v>
      </c>
    </row>
    <row r="6" spans="1:6" ht="15" customHeight="1" x14ac:dyDescent="0.35">
      <c r="A6" s="2" t="s">
        <v>8</v>
      </c>
      <c r="B6" s="2" t="s">
        <v>9</v>
      </c>
      <c r="C6" s="2" t="s">
        <v>10</v>
      </c>
      <c r="D6" s="2" t="s">
        <v>15</v>
      </c>
      <c r="E6" s="2">
        <v>2480</v>
      </c>
      <c r="F6" s="2" t="s">
        <v>328</v>
      </c>
    </row>
    <row r="7" spans="1:6" ht="15" customHeight="1" x14ac:dyDescent="0.35">
      <c r="A7" s="2" t="s">
        <v>8</v>
      </c>
      <c r="B7" s="2" t="s">
        <v>9</v>
      </c>
      <c r="C7" s="2" t="s">
        <v>10</v>
      </c>
      <c r="D7" s="2" t="s">
        <v>16</v>
      </c>
      <c r="E7" s="2">
        <v>2540</v>
      </c>
      <c r="F7" s="2" t="s">
        <v>329</v>
      </c>
    </row>
    <row r="8" spans="1:6" ht="15" customHeight="1" x14ac:dyDescent="0.35">
      <c r="A8" s="2" t="s">
        <v>8</v>
      </c>
      <c r="B8" s="2" t="s">
        <v>9</v>
      </c>
      <c r="C8" s="2" t="s">
        <v>10</v>
      </c>
      <c r="D8" s="2" t="s">
        <v>17</v>
      </c>
      <c r="E8" s="2">
        <v>2230</v>
      </c>
      <c r="F8" s="2" t="s">
        <v>330</v>
      </c>
    </row>
    <row r="9" spans="1:6" ht="15" customHeight="1" x14ac:dyDescent="0.35">
      <c r="A9" s="2" t="s">
        <v>8</v>
      </c>
      <c r="B9" s="2" t="s">
        <v>9</v>
      </c>
      <c r="C9" s="2" t="s">
        <v>10</v>
      </c>
      <c r="D9" s="2" t="s">
        <v>18</v>
      </c>
      <c r="E9" s="2">
        <v>2360</v>
      </c>
      <c r="F9" s="2" t="s">
        <v>331</v>
      </c>
    </row>
    <row r="10" spans="1:6" ht="15" customHeight="1" x14ac:dyDescent="0.35">
      <c r="A10" s="2" t="s">
        <v>8</v>
      </c>
      <c r="B10" s="2" t="s">
        <v>9</v>
      </c>
      <c r="C10" s="2" t="s">
        <v>10</v>
      </c>
      <c r="D10" s="2" t="s">
        <v>19</v>
      </c>
      <c r="E10" s="2">
        <v>2480</v>
      </c>
      <c r="F10" s="2" t="s">
        <v>332</v>
      </c>
    </row>
    <row r="11" spans="1:6" ht="15" customHeight="1" x14ac:dyDescent="0.35">
      <c r="A11" s="2" t="s">
        <v>8</v>
      </c>
      <c r="B11" s="2" t="s">
        <v>9</v>
      </c>
      <c r="C11" s="2" t="s">
        <v>10</v>
      </c>
      <c r="D11" s="2" t="s">
        <v>20</v>
      </c>
      <c r="E11" s="2">
        <v>2510</v>
      </c>
      <c r="F11" s="2" t="s">
        <v>333</v>
      </c>
    </row>
    <row r="12" spans="1:6" ht="15" customHeight="1" x14ac:dyDescent="0.35">
      <c r="A12" s="2" t="s">
        <v>8</v>
      </c>
      <c r="B12" s="2" t="s">
        <v>9</v>
      </c>
      <c r="C12" s="2" t="s">
        <v>10</v>
      </c>
      <c r="D12" s="2" t="s">
        <v>21</v>
      </c>
      <c r="E12" s="2">
        <v>3020</v>
      </c>
      <c r="F12" s="2" t="s">
        <v>334</v>
      </c>
    </row>
    <row r="13" spans="1:6" ht="15" customHeight="1" x14ac:dyDescent="0.35">
      <c r="A13" s="2" t="s">
        <v>8</v>
      </c>
      <c r="B13" s="2" t="s">
        <v>22</v>
      </c>
      <c r="C13" s="2" t="s">
        <v>10</v>
      </c>
      <c r="D13" s="2" t="s">
        <v>11</v>
      </c>
      <c r="E13" s="2">
        <v>1750</v>
      </c>
      <c r="F13" s="2" t="s">
        <v>335</v>
      </c>
    </row>
    <row r="14" spans="1:6" ht="15" customHeight="1" x14ac:dyDescent="0.35">
      <c r="A14" s="2" t="s">
        <v>8</v>
      </c>
      <c r="B14" s="2" t="s">
        <v>22</v>
      </c>
      <c r="C14" s="2" t="s">
        <v>10</v>
      </c>
      <c r="D14" s="2" t="s">
        <v>12</v>
      </c>
      <c r="E14" s="2">
        <v>1990</v>
      </c>
      <c r="F14" s="2" t="s">
        <v>336</v>
      </c>
    </row>
    <row r="15" spans="1:6" ht="15" customHeight="1" x14ac:dyDescent="0.35">
      <c r="A15" s="2" t="s">
        <v>8</v>
      </c>
      <c r="B15" s="2" t="s">
        <v>22</v>
      </c>
      <c r="C15" s="2" t="s">
        <v>10</v>
      </c>
      <c r="D15" s="2" t="s">
        <v>13</v>
      </c>
      <c r="E15" s="2">
        <v>2960</v>
      </c>
      <c r="F15" s="2" t="s">
        <v>337</v>
      </c>
    </row>
    <row r="16" spans="1:6" ht="15" customHeight="1" x14ac:dyDescent="0.35">
      <c r="A16" s="2" t="s">
        <v>8</v>
      </c>
      <c r="B16" s="2" t="s">
        <v>22</v>
      </c>
      <c r="C16" s="2" t="s">
        <v>10</v>
      </c>
      <c r="D16" s="2" t="s">
        <v>14</v>
      </c>
      <c r="E16" s="2">
        <v>2240</v>
      </c>
      <c r="F16" s="2" t="s">
        <v>338</v>
      </c>
    </row>
    <row r="17" spans="1:6" ht="15" customHeight="1" x14ac:dyDescent="0.35">
      <c r="A17" s="2" t="s">
        <v>8</v>
      </c>
      <c r="B17" s="2" t="s">
        <v>22</v>
      </c>
      <c r="C17" s="2" t="s">
        <v>10</v>
      </c>
      <c r="D17" s="2" t="s">
        <v>15</v>
      </c>
      <c r="E17" s="2">
        <v>2240</v>
      </c>
      <c r="F17" s="2" t="s">
        <v>339</v>
      </c>
    </row>
    <row r="18" spans="1:6" ht="15" customHeight="1" x14ac:dyDescent="0.35">
      <c r="A18" s="2" t="s">
        <v>8</v>
      </c>
      <c r="B18" s="2" t="s">
        <v>22</v>
      </c>
      <c r="C18" s="2" t="s">
        <v>10</v>
      </c>
      <c r="D18" s="2" t="s">
        <v>16</v>
      </c>
      <c r="E18" s="2">
        <v>2300</v>
      </c>
      <c r="F18" s="2" t="s">
        <v>340</v>
      </c>
    </row>
    <row r="19" spans="1:6" ht="15" customHeight="1" x14ac:dyDescent="0.35">
      <c r="A19" s="2" t="s">
        <v>8</v>
      </c>
      <c r="B19" s="2" t="s">
        <v>22</v>
      </c>
      <c r="C19" s="2" t="s">
        <v>10</v>
      </c>
      <c r="D19" s="2" t="s">
        <v>17</v>
      </c>
      <c r="E19" s="2">
        <v>1990</v>
      </c>
      <c r="F19" s="2" t="s">
        <v>341</v>
      </c>
    </row>
    <row r="20" spans="1:6" ht="15" customHeight="1" x14ac:dyDescent="0.35">
      <c r="A20" s="2" t="s">
        <v>8</v>
      </c>
      <c r="B20" s="2" t="s">
        <v>22</v>
      </c>
      <c r="C20" s="2" t="s">
        <v>10</v>
      </c>
      <c r="D20" s="2" t="s">
        <v>18</v>
      </c>
      <c r="E20" s="2">
        <v>2120</v>
      </c>
      <c r="F20" s="2" t="s">
        <v>342</v>
      </c>
    </row>
    <row r="21" spans="1:6" ht="15" customHeight="1" x14ac:dyDescent="0.35">
      <c r="A21" s="2" t="s">
        <v>8</v>
      </c>
      <c r="B21" s="2" t="s">
        <v>22</v>
      </c>
      <c r="C21" s="2" t="s">
        <v>10</v>
      </c>
      <c r="D21" s="2" t="s">
        <v>19</v>
      </c>
      <c r="E21" s="2">
        <v>2240</v>
      </c>
      <c r="F21" s="2" t="s">
        <v>343</v>
      </c>
    </row>
    <row r="22" spans="1:6" ht="15" customHeight="1" x14ac:dyDescent="0.35">
      <c r="A22" s="2" t="s">
        <v>8</v>
      </c>
      <c r="B22" s="2" t="s">
        <v>22</v>
      </c>
      <c r="C22" s="2" t="s">
        <v>10</v>
      </c>
      <c r="D22" s="2" t="s">
        <v>20</v>
      </c>
      <c r="E22" s="2">
        <v>2270</v>
      </c>
      <c r="F22" s="2" t="s">
        <v>344</v>
      </c>
    </row>
    <row r="23" spans="1:6" ht="15" customHeight="1" x14ac:dyDescent="0.35">
      <c r="A23" s="2" t="s">
        <v>8</v>
      </c>
      <c r="B23" s="2" t="s">
        <v>22</v>
      </c>
      <c r="C23" s="2" t="s">
        <v>10</v>
      </c>
      <c r="D23" s="2" t="s">
        <v>21</v>
      </c>
      <c r="E23" s="2">
        <v>2780</v>
      </c>
      <c r="F23" s="2" t="s">
        <v>345</v>
      </c>
    </row>
    <row r="24" spans="1:6" ht="15" customHeight="1" x14ac:dyDescent="0.35">
      <c r="A24" s="2" t="s">
        <v>23</v>
      </c>
      <c r="B24" s="2" t="s">
        <v>9</v>
      </c>
      <c r="C24" s="2" t="s">
        <v>10</v>
      </c>
      <c r="D24" s="2" t="s">
        <v>11</v>
      </c>
      <c r="E24" s="2">
        <v>1750</v>
      </c>
      <c r="F24" s="2" t="s">
        <v>346</v>
      </c>
    </row>
    <row r="25" spans="1:6" ht="15" customHeight="1" x14ac:dyDescent="0.35">
      <c r="A25" s="2" t="s">
        <v>23</v>
      </c>
      <c r="B25" s="2" t="s">
        <v>9</v>
      </c>
      <c r="C25" s="2" t="s">
        <v>10</v>
      </c>
      <c r="D25" s="2" t="s">
        <v>12</v>
      </c>
      <c r="E25" s="2">
        <v>1990</v>
      </c>
      <c r="F25" s="2" t="s">
        <v>347</v>
      </c>
    </row>
    <row r="26" spans="1:6" ht="15" customHeight="1" x14ac:dyDescent="0.35">
      <c r="A26" s="2" t="s">
        <v>23</v>
      </c>
      <c r="B26" s="2" t="s">
        <v>9</v>
      </c>
      <c r="C26" s="2" t="s">
        <v>10</v>
      </c>
      <c r="D26" s="2" t="s">
        <v>13</v>
      </c>
      <c r="E26" s="2">
        <v>2960</v>
      </c>
      <c r="F26" s="2" t="s">
        <v>348</v>
      </c>
    </row>
    <row r="27" spans="1:6" ht="15" customHeight="1" x14ac:dyDescent="0.35">
      <c r="A27" s="2" t="s">
        <v>23</v>
      </c>
      <c r="B27" s="2" t="s">
        <v>9</v>
      </c>
      <c r="C27" s="2" t="s">
        <v>10</v>
      </c>
      <c r="D27" s="2" t="s">
        <v>14</v>
      </c>
      <c r="E27" s="2">
        <v>2240</v>
      </c>
      <c r="F27" s="2" t="s">
        <v>349</v>
      </c>
    </row>
    <row r="28" spans="1:6" ht="15" customHeight="1" x14ac:dyDescent="0.35">
      <c r="A28" s="2" t="s">
        <v>23</v>
      </c>
      <c r="B28" s="2" t="s">
        <v>9</v>
      </c>
      <c r="C28" s="2" t="s">
        <v>10</v>
      </c>
      <c r="D28" s="2" t="s">
        <v>15</v>
      </c>
      <c r="E28" s="2">
        <v>2240</v>
      </c>
      <c r="F28" s="2" t="s">
        <v>350</v>
      </c>
    </row>
    <row r="29" spans="1:6" ht="15" customHeight="1" x14ac:dyDescent="0.35">
      <c r="A29" s="2" t="s">
        <v>23</v>
      </c>
      <c r="B29" s="2" t="s">
        <v>9</v>
      </c>
      <c r="C29" s="2" t="s">
        <v>10</v>
      </c>
      <c r="D29" s="2" t="s">
        <v>16</v>
      </c>
      <c r="E29" s="2">
        <v>2300</v>
      </c>
      <c r="F29" s="2" t="s">
        <v>351</v>
      </c>
    </row>
    <row r="30" spans="1:6" ht="15" customHeight="1" x14ac:dyDescent="0.35">
      <c r="A30" s="2" t="s">
        <v>23</v>
      </c>
      <c r="B30" s="2" t="s">
        <v>9</v>
      </c>
      <c r="C30" s="2" t="s">
        <v>10</v>
      </c>
      <c r="D30" s="2" t="s">
        <v>17</v>
      </c>
      <c r="E30" s="2">
        <v>1990</v>
      </c>
      <c r="F30" s="2" t="s">
        <v>352</v>
      </c>
    </row>
    <row r="31" spans="1:6" ht="15" customHeight="1" x14ac:dyDescent="0.35">
      <c r="A31" s="2" t="s">
        <v>23</v>
      </c>
      <c r="B31" s="2" t="s">
        <v>9</v>
      </c>
      <c r="C31" s="2" t="s">
        <v>10</v>
      </c>
      <c r="D31" s="2" t="s">
        <v>18</v>
      </c>
      <c r="E31" s="2">
        <v>2120</v>
      </c>
      <c r="F31" s="2" t="s">
        <v>353</v>
      </c>
    </row>
    <row r="32" spans="1:6" ht="15" customHeight="1" x14ac:dyDescent="0.35">
      <c r="A32" s="2" t="s">
        <v>23</v>
      </c>
      <c r="B32" s="2" t="s">
        <v>9</v>
      </c>
      <c r="C32" s="2" t="s">
        <v>10</v>
      </c>
      <c r="D32" s="2" t="s">
        <v>19</v>
      </c>
      <c r="E32" s="2">
        <v>2240</v>
      </c>
      <c r="F32" s="2" t="s">
        <v>354</v>
      </c>
    </row>
    <row r="33" spans="1:6" ht="15" customHeight="1" x14ac:dyDescent="0.35">
      <c r="A33" s="2" t="s">
        <v>23</v>
      </c>
      <c r="B33" s="2" t="s">
        <v>9</v>
      </c>
      <c r="C33" s="2" t="s">
        <v>10</v>
      </c>
      <c r="D33" s="2" t="s">
        <v>20</v>
      </c>
      <c r="E33" s="2">
        <v>2270</v>
      </c>
      <c r="F33" s="2" t="s">
        <v>355</v>
      </c>
    </row>
    <row r="34" spans="1:6" ht="15" customHeight="1" x14ac:dyDescent="0.35">
      <c r="A34" s="2" t="s">
        <v>23</v>
      </c>
      <c r="B34" s="2" t="s">
        <v>9</v>
      </c>
      <c r="C34" s="2" t="s">
        <v>10</v>
      </c>
      <c r="D34" s="2" t="s">
        <v>21</v>
      </c>
      <c r="E34" s="2">
        <v>2780</v>
      </c>
      <c r="F34" s="2" t="s">
        <v>356</v>
      </c>
    </row>
    <row r="35" spans="1:6" ht="15" customHeight="1" x14ac:dyDescent="0.35">
      <c r="A35" s="2" t="s">
        <v>23</v>
      </c>
      <c r="B35" s="2" t="s">
        <v>9</v>
      </c>
      <c r="C35" s="2" t="s">
        <v>24</v>
      </c>
      <c r="D35" s="2" t="s">
        <v>18</v>
      </c>
      <c r="E35" s="2">
        <v>2420</v>
      </c>
      <c r="F35" s="2" t="s">
        <v>357</v>
      </c>
    </row>
    <row r="36" spans="1:6" ht="15" customHeight="1" x14ac:dyDescent="0.35">
      <c r="A36" s="2" t="s">
        <v>23</v>
      </c>
      <c r="B36" s="2" t="s">
        <v>9</v>
      </c>
      <c r="C36" s="2" t="s">
        <v>24</v>
      </c>
      <c r="D36" s="2" t="s">
        <v>19</v>
      </c>
      <c r="E36" s="2">
        <v>2540</v>
      </c>
      <c r="F36" s="2" t="s">
        <v>358</v>
      </c>
    </row>
    <row r="37" spans="1:6" ht="15" customHeight="1" x14ac:dyDescent="0.35">
      <c r="A37" s="2" t="s">
        <v>23</v>
      </c>
      <c r="B37" s="2" t="s">
        <v>22</v>
      </c>
      <c r="C37" s="2" t="s">
        <v>10</v>
      </c>
      <c r="D37" s="2" t="s">
        <v>11</v>
      </c>
      <c r="E37" s="2">
        <v>1630</v>
      </c>
      <c r="F37" s="2" t="s">
        <v>359</v>
      </c>
    </row>
    <row r="38" spans="1:6" ht="15" customHeight="1" x14ac:dyDescent="0.35">
      <c r="A38" s="2" t="s">
        <v>23</v>
      </c>
      <c r="B38" s="2" t="s">
        <v>22</v>
      </c>
      <c r="C38" s="2" t="s">
        <v>10</v>
      </c>
      <c r="D38" s="2" t="s">
        <v>12</v>
      </c>
      <c r="E38" s="2">
        <v>1870</v>
      </c>
      <c r="F38" s="2" t="s">
        <v>360</v>
      </c>
    </row>
    <row r="39" spans="1:6" ht="15" customHeight="1" x14ac:dyDescent="0.35">
      <c r="A39" s="2" t="s">
        <v>23</v>
      </c>
      <c r="B39" s="2" t="s">
        <v>22</v>
      </c>
      <c r="C39" s="2" t="s">
        <v>10</v>
      </c>
      <c r="D39" s="2" t="s">
        <v>13</v>
      </c>
      <c r="E39" s="2">
        <v>2840</v>
      </c>
      <c r="F39" s="2" t="s">
        <v>361</v>
      </c>
    </row>
    <row r="40" spans="1:6" ht="15" customHeight="1" x14ac:dyDescent="0.35">
      <c r="A40" s="2" t="s">
        <v>23</v>
      </c>
      <c r="B40" s="2" t="s">
        <v>22</v>
      </c>
      <c r="C40" s="2" t="s">
        <v>10</v>
      </c>
      <c r="D40" s="2" t="s">
        <v>14</v>
      </c>
      <c r="E40" s="2">
        <v>2120</v>
      </c>
      <c r="F40" s="2" t="s">
        <v>362</v>
      </c>
    </row>
    <row r="41" spans="1:6" ht="15" customHeight="1" x14ac:dyDescent="0.35">
      <c r="A41" s="2" t="s">
        <v>23</v>
      </c>
      <c r="B41" s="2" t="s">
        <v>22</v>
      </c>
      <c r="C41" s="2" t="s">
        <v>10</v>
      </c>
      <c r="D41" s="2" t="s">
        <v>15</v>
      </c>
      <c r="E41" s="2">
        <v>2120</v>
      </c>
      <c r="F41" s="2" t="s">
        <v>363</v>
      </c>
    </row>
    <row r="42" spans="1:6" ht="15" customHeight="1" x14ac:dyDescent="0.35">
      <c r="A42" s="2" t="s">
        <v>23</v>
      </c>
      <c r="B42" s="2" t="s">
        <v>22</v>
      </c>
      <c r="C42" s="2" t="s">
        <v>10</v>
      </c>
      <c r="D42" s="2" t="s">
        <v>16</v>
      </c>
      <c r="E42" s="2">
        <v>2180</v>
      </c>
      <c r="F42" s="2" t="s">
        <v>364</v>
      </c>
    </row>
    <row r="43" spans="1:6" ht="15" customHeight="1" x14ac:dyDescent="0.35">
      <c r="A43" s="2" t="s">
        <v>23</v>
      </c>
      <c r="B43" s="2" t="s">
        <v>22</v>
      </c>
      <c r="C43" s="2" t="s">
        <v>10</v>
      </c>
      <c r="D43" s="2" t="s">
        <v>17</v>
      </c>
      <c r="E43" s="2">
        <v>1870</v>
      </c>
      <c r="F43" s="2" t="s">
        <v>365</v>
      </c>
    </row>
    <row r="44" spans="1:6" ht="15" customHeight="1" x14ac:dyDescent="0.35">
      <c r="A44" s="2" t="s">
        <v>23</v>
      </c>
      <c r="B44" s="2" t="s">
        <v>22</v>
      </c>
      <c r="C44" s="2" t="s">
        <v>10</v>
      </c>
      <c r="D44" s="2" t="s">
        <v>18</v>
      </c>
      <c r="E44" s="2">
        <v>2000</v>
      </c>
      <c r="F44" s="2" t="s">
        <v>366</v>
      </c>
    </row>
    <row r="45" spans="1:6" ht="15" customHeight="1" x14ac:dyDescent="0.35">
      <c r="A45" s="2" t="s">
        <v>23</v>
      </c>
      <c r="B45" s="2" t="s">
        <v>22</v>
      </c>
      <c r="C45" s="2" t="s">
        <v>10</v>
      </c>
      <c r="D45" s="2" t="s">
        <v>19</v>
      </c>
      <c r="E45" s="2">
        <v>2120</v>
      </c>
      <c r="F45" s="2" t="s">
        <v>367</v>
      </c>
    </row>
    <row r="46" spans="1:6" ht="15" customHeight="1" x14ac:dyDescent="0.35">
      <c r="A46" s="2" t="s">
        <v>23</v>
      </c>
      <c r="B46" s="2" t="s">
        <v>22</v>
      </c>
      <c r="C46" s="2" t="s">
        <v>10</v>
      </c>
      <c r="D46" s="2" t="s">
        <v>20</v>
      </c>
      <c r="E46" s="2">
        <v>2150</v>
      </c>
      <c r="F46" s="2" t="s">
        <v>368</v>
      </c>
    </row>
    <row r="47" spans="1:6" ht="15" customHeight="1" x14ac:dyDescent="0.35">
      <c r="A47" s="2" t="s">
        <v>23</v>
      </c>
      <c r="B47" s="2" t="s">
        <v>22</v>
      </c>
      <c r="C47" s="2" t="s">
        <v>10</v>
      </c>
      <c r="D47" s="2" t="s">
        <v>21</v>
      </c>
      <c r="E47" s="2">
        <v>2660</v>
      </c>
      <c r="F47" s="2" t="s">
        <v>369</v>
      </c>
    </row>
    <row r="48" spans="1:6" ht="15" customHeight="1" x14ac:dyDescent="0.35">
      <c r="A48" s="2" t="s">
        <v>23</v>
      </c>
      <c r="B48" s="2" t="s">
        <v>22</v>
      </c>
      <c r="C48" s="2" t="s">
        <v>24</v>
      </c>
      <c r="D48" s="2" t="s">
        <v>18</v>
      </c>
      <c r="E48" s="2">
        <v>2300</v>
      </c>
      <c r="F48" s="2" t="s">
        <v>370</v>
      </c>
    </row>
    <row r="49" spans="1:6" ht="15" customHeight="1" x14ac:dyDescent="0.35">
      <c r="A49" s="2" t="s">
        <v>23</v>
      </c>
      <c r="B49" s="2" t="s">
        <v>22</v>
      </c>
      <c r="C49" s="2" t="s">
        <v>24</v>
      </c>
      <c r="D49" s="2" t="s">
        <v>19</v>
      </c>
      <c r="E49" s="2">
        <v>2420</v>
      </c>
      <c r="F49" s="2" t="s">
        <v>371</v>
      </c>
    </row>
    <row r="50" spans="1:6" ht="15" customHeight="1" x14ac:dyDescent="0.35">
      <c r="A50" s="2" t="s">
        <v>25</v>
      </c>
      <c r="B50" s="2" t="s">
        <v>22</v>
      </c>
      <c r="C50" s="2" t="s">
        <v>10</v>
      </c>
      <c r="D50" s="2" t="s">
        <v>11</v>
      </c>
      <c r="E50" s="2">
        <v>1450</v>
      </c>
      <c r="F50" s="2" t="s">
        <v>372</v>
      </c>
    </row>
    <row r="51" spans="1:6" ht="15" customHeight="1" x14ac:dyDescent="0.35">
      <c r="A51" s="2" t="s">
        <v>25</v>
      </c>
      <c r="B51" s="2" t="s">
        <v>22</v>
      </c>
      <c r="C51" s="2" t="s">
        <v>10</v>
      </c>
      <c r="D51" s="2" t="s">
        <v>12</v>
      </c>
      <c r="E51" s="2">
        <v>1690</v>
      </c>
      <c r="F51" s="2" t="s">
        <v>373</v>
      </c>
    </row>
    <row r="52" spans="1:6" ht="15" customHeight="1" x14ac:dyDescent="0.35">
      <c r="A52" s="2" t="s">
        <v>25</v>
      </c>
      <c r="B52" s="2" t="s">
        <v>22</v>
      </c>
      <c r="C52" s="2" t="s">
        <v>10</v>
      </c>
      <c r="D52" s="2" t="s">
        <v>13</v>
      </c>
      <c r="E52" s="2">
        <v>2660</v>
      </c>
      <c r="F52" s="2" t="s">
        <v>374</v>
      </c>
    </row>
    <row r="53" spans="1:6" ht="15" customHeight="1" x14ac:dyDescent="0.35">
      <c r="A53" s="2" t="s">
        <v>25</v>
      </c>
      <c r="B53" s="2" t="s">
        <v>22</v>
      </c>
      <c r="C53" s="2" t="s">
        <v>10</v>
      </c>
      <c r="D53" s="2" t="s">
        <v>14</v>
      </c>
      <c r="E53" s="2">
        <v>1940</v>
      </c>
      <c r="F53" s="2" t="s">
        <v>375</v>
      </c>
    </row>
    <row r="54" spans="1:6" ht="15" customHeight="1" x14ac:dyDescent="0.35">
      <c r="A54" s="2" t="s">
        <v>25</v>
      </c>
      <c r="B54" s="2" t="s">
        <v>22</v>
      </c>
      <c r="C54" s="2" t="s">
        <v>10</v>
      </c>
      <c r="D54" s="2" t="s">
        <v>15</v>
      </c>
      <c r="E54" s="2">
        <v>1940</v>
      </c>
      <c r="F54" s="2" t="s">
        <v>376</v>
      </c>
    </row>
    <row r="55" spans="1:6" ht="15" customHeight="1" x14ac:dyDescent="0.35">
      <c r="A55" s="2" t="s">
        <v>25</v>
      </c>
      <c r="B55" s="2" t="s">
        <v>22</v>
      </c>
      <c r="C55" s="2" t="s">
        <v>10</v>
      </c>
      <c r="D55" s="2" t="s">
        <v>16</v>
      </c>
      <c r="E55" s="2">
        <v>2000</v>
      </c>
      <c r="F55" s="2" t="s">
        <v>377</v>
      </c>
    </row>
    <row r="56" spans="1:6" ht="15" customHeight="1" x14ac:dyDescent="0.35">
      <c r="A56" s="2" t="s">
        <v>25</v>
      </c>
      <c r="B56" s="2" t="s">
        <v>22</v>
      </c>
      <c r="C56" s="2" t="s">
        <v>10</v>
      </c>
      <c r="D56" s="2" t="s">
        <v>17</v>
      </c>
      <c r="E56" s="2">
        <v>1690</v>
      </c>
      <c r="F56" s="2" t="s">
        <v>378</v>
      </c>
    </row>
    <row r="57" spans="1:6" ht="15" customHeight="1" x14ac:dyDescent="0.35">
      <c r="A57" s="2" t="s">
        <v>25</v>
      </c>
      <c r="B57" s="2" t="s">
        <v>22</v>
      </c>
      <c r="C57" s="2" t="s">
        <v>10</v>
      </c>
      <c r="D57" s="2" t="s">
        <v>21</v>
      </c>
      <c r="E57" s="2">
        <v>2480</v>
      </c>
      <c r="F57" s="2" t="s">
        <v>379</v>
      </c>
    </row>
    <row r="58" spans="1:6" ht="15" customHeight="1" x14ac:dyDescent="0.35">
      <c r="A58" s="2" t="s">
        <v>26</v>
      </c>
      <c r="B58" s="2" t="s">
        <v>27</v>
      </c>
      <c r="C58" s="2" t="s">
        <v>10</v>
      </c>
      <c r="D58" s="2" t="s">
        <v>28</v>
      </c>
      <c r="E58" s="2">
        <v>1570</v>
      </c>
      <c r="F58" s="2" t="s">
        <v>380</v>
      </c>
    </row>
    <row r="59" spans="1:6" ht="15" customHeight="1" x14ac:dyDescent="0.35">
      <c r="A59" s="2" t="s">
        <v>26</v>
      </c>
      <c r="B59" s="2" t="s">
        <v>27</v>
      </c>
      <c r="C59" s="2" t="s">
        <v>10</v>
      </c>
      <c r="D59" s="2" t="s">
        <v>29</v>
      </c>
      <c r="E59" s="2">
        <v>1690</v>
      </c>
      <c r="F59" s="2" t="s">
        <v>381</v>
      </c>
    </row>
    <row r="60" spans="1:6" ht="15" customHeight="1" x14ac:dyDescent="0.35">
      <c r="A60" s="2" t="s">
        <v>26</v>
      </c>
      <c r="B60" s="2" t="s">
        <v>27</v>
      </c>
      <c r="C60" s="2" t="s">
        <v>10</v>
      </c>
      <c r="D60" s="2" t="s">
        <v>30</v>
      </c>
      <c r="E60" s="2">
        <v>1810</v>
      </c>
      <c r="F60" s="2" t="s">
        <v>382</v>
      </c>
    </row>
    <row r="61" spans="1:6" ht="15" customHeight="1" x14ac:dyDescent="0.35">
      <c r="A61" s="2" t="s">
        <v>26</v>
      </c>
      <c r="B61" s="2" t="s">
        <v>27</v>
      </c>
      <c r="C61" s="2" t="s">
        <v>10</v>
      </c>
      <c r="D61" s="2" t="s">
        <v>13</v>
      </c>
      <c r="E61" s="2">
        <v>2780</v>
      </c>
      <c r="F61" s="2" t="s">
        <v>383</v>
      </c>
    </row>
    <row r="62" spans="1:6" ht="15" customHeight="1" x14ac:dyDescent="0.35">
      <c r="A62" s="2" t="s">
        <v>26</v>
      </c>
      <c r="B62" s="2" t="s">
        <v>27</v>
      </c>
      <c r="C62" s="2" t="s">
        <v>10</v>
      </c>
      <c r="D62" s="2" t="s">
        <v>31</v>
      </c>
      <c r="E62" s="2">
        <v>2060</v>
      </c>
      <c r="F62" s="2" t="s">
        <v>384</v>
      </c>
    </row>
    <row r="63" spans="1:6" ht="15" customHeight="1" x14ac:dyDescent="0.35">
      <c r="A63" s="2" t="s">
        <v>26</v>
      </c>
      <c r="B63" s="2" t="s">
        <v>27</v>
      </c>
      <c r="C63" s="2" t="s">
        <v>10</v>
      </c>
      <c r="D63" s="2" t="s">
        <v>15</v>
      </c>
      <c r="E63" s="2">
        <v>2060</v>
      </c>
      <c r="F63" s="2" t="s">
        <v>385</v>
      </c>
    </row>
    <row r="64" spans="1:6" ht="15" customHeight="1" x14ac:dyDescent="0.35">
      <c r="A64" s="2" t="s">
        <v>26</v>
      </c>
      <c r="B64" s="2" t="s">
        <v>27</v>
      </c>
      <c r="C64" s="2" t="s">
        <v>10</v>
      </c>
      <c r="D64" s="2" t="s">
        <v>16</v>
      </c>
      <c r="E64" s="2">
        <v>2120</v>
      </c>
      <c r="F64" s="2" t="s">
        <v>386</v>
      </c>
    </row>
    <row r="65" spans="1:6" ht="15" customHeight="1" x14ac:dyDescent="0.35">
      <c r="A65" s="2" t="s">
        <v>26</v>
      </c>
      <c r="B65" s="2" t="s">
        <v>27</v>
      </c>
      <c r="C65" s="2" t="s">
        <v>10</v>
      </c>
      <c r="D65" s="2" t="s">
        <v>17</v>
      </c>
      <c r="E65" s="2">
        <v>1810</v>
      </c>
      <c r="F65" s="2" t="s">
        <v>387</v>
      </c>
    </row>
    <row r="66" spans="1:6" ht="15" customHeight="1" x14ac:dyDescent="0.35">
      <c r="A66" s="2" t="s">
        <v>26</v>
      </c>
      <c r="B66" s="2" t="s">
        <v>27</v>
      </c>
      <c r="C66" s="2" t="s">
        <v>10</v>
      </c>
      <c r="D66" s="2" t="s">
        <v>18</v>
      </c>
      <c r="E66" s="2">
        <v>1940</v>
      </c>
      <c r="F66" s="2" t="s">
        <v>388</v>
      </c>
    </row>
    <row r="67" spans="1:6" ht="15" customHeight="1" x14ac:dyDescent="0.35">
      <c r="A67" s="2" t="s">
        <v>26</v>
      </c>
      <c r="B67" s="2" t="s">
        <v>27</v>
      </c>
      <c r="C67" s="2" t="s">
        <v>10</v>
      </c>
      <c r="D67" s="2" t="s">
        <v>19</v>
      </c>
      <c r="E67" s="2">
        <v>2060</v>
      </c>
      <c r="F67" s="2" t="s">
        <v>389</v>
      </c>
    </row>
    <row r="68" spans="1:6" ht="15" customHeight="1" x14ac:dyDescent="0.35">
      <c r="A68" s="2" t="s">
        <v>26</v>
      </c>
      <c r="B68" s="2" t="s">
        <v>27</v>
      </c>
      <c r="C68" s="2" t="s">
        <v>10</v>
      </c>
      <c r="D68" s="2" t="s">
        <v>20</v>
      </c>
      <c r="E68" s="2">
        <v>2090</v>
      </c>
      <c r="F68" s="2" t="s">
        <v>390</v>
      </c>
    </row>
    <row r="69" spans="1:6" ht="15" customHeight="1" x14ac:dyDescent="0.35">
      <c r="A69" s="2" t="s">
        <v>26</v>
      </c>
      <c r="B69" s="2" t="s">
        <v>27</v>
      </c>
      <c r="C69" s="2" t="s">
        <v>10</v>
      </c>
      <c r="D69" s="2" t="s">
        <v>21</v>
      </c>
      <c r="E69" s="2">
        <v>2600</v>
      </c>
      <c r="F69" s="2" t="s">
        <v>391</v>
      </c>
    </row>
    <row r="70" spans="1:6" ht="15" customHeight="1" x14ac:dyDescent="0.35">
      <c r="A70" s="2" t="s">
        <v>26</v>
      </c>
      <c r="B70" s="2" t="s">
        <v>27</v>
      </c>
      <c r="C70" s="2" t="s">
        <v>32</v>
      </c>
      <c r="D70" s="2" t="s">
        <v>18</v>
      </c>
      <c r="E70" s="2">
        <v>2240</v>
      </c>
      <c r="F70" s="2" t="s">
        <v>392</v>
      </c>
    </row>
    <row r="71" spans="1:6" ht="15" customHeight="1" x14ac:dyDescent="0.35">
      <c r="A71" s="2" t="s">
        <v>26</v>
      </c>
      <c r="B71" s="2" t="s">
        <v>27</v>
      </c>
      <c r="C71" s="2" t="s">
        <v>32</v>
      </c>
      <c r="D71" s="2" t="s">
        <v>19</v>
      </c>
      <c r="E71" s="2">
        <v>2360</v>
      </c>
      <c r="F71" s="2" t="s">
        <v>393</v>
      </c>
    </row>
    <row r="72" spans="1:6" ht="15" customHeight="1" x14ac:dyDescent="0.35">
      <c r="A72" s="2" t="s">
        <v>26</v>
      </c>
      <c r="B72" s="2" t="s">
        <v>27</v>
      </c>
      <c r="C72" s="2" t="s">
        <v>32</v>
      </c>
      <c r="D72" s="2" t="s">
        <v>33</v>
      </c>
      <c r="E72" s="2">
        <v>2300</v>
      </c>
      <c r="F72" s="2" t="s">
        <v>394</v>
      </c>
    </row>
    <row r="73" spans="1:6" ht="15" customHeight="1" x14ac:dyDescent="0.35">
      <c r="A73" s="2" t="s">
        <v>26</v>
      </c>
      <c r="B73" s="2" t="s">
        <v>27</v>
      </c>
      <c r="C73" s="2" t="s">
        <v>32</v>
      </c>
      <c r="D73" s="2" t="s">
        <v>34</v>
      </c>
      <c r="E73" s="2">
        <v>2600</v>
      </c>
      <c r="F73" s="2" t="s">
        <v>395</v>
      </c>
    </row>
    <row r="74" spans="1:6" ht="15" customHeight="1" x14ac:dyDescent="0.35">
      <c r="A74" s="2" t="s">
        <v>26</v>
      </c>
      <c r="B74" s="2" t="s">
        <v>27</v>
      </c>
      <c r="C74" s="2" t="s">
        <v>32</v>
      </c>
      <c r="D74" s="2" t="s">
        <v>35</v>
      </c>
      <c r="E74" s="2">
        <v>2720</v>
      </c>
      <c r="F74" s="2" t="s">
        <v>396</v>
      </c>
    </row>
    <row r="75" spans="1:6" ht="15" customHeight="1" x14ac:dyDescent="0.35">
      <c r="A75" s="2" t="s">
        <v>26</v>
      </c>
      <c r="B75" s="2" t="s">
        <v>27</v>
      </c>
      <c r="C75" s="2" t="s">
        <v>36</v>
      </c>
      <c r="D75" s="2" t="s">
        <v>37</v>
      </c>
      <c r="E75" s="2">
        <v>83550</v>
      </c>
      <c r="F75" s="2" t="s">
        <v>397</v>
      </c>
    </row>
    <row r="76" spans="1:6" ht="15" customHeight="1" x14ac:dyDescent="0.35">
      <c r="A76" s="2" t="s">
        <v>26</v>
      </c>
      <c r="B76" s="2" t="s">
        <v>27</v>
      </c>
      <c r="C76" s="2" t="s">
        <v>36</v>
      </c>
      <c r="D76" s="2" t="s">
        <v>38</v>
      </c>
      <c r="E76" s="2">
        <v>93230</v>
      </c>
      <c r="F76" s="2" t="s">
        <v>398</v>
      </c>
    </row>
    <row r="77" spans="1:6" ht="15" customHeight="1" x14ac:dyDescent="0.35">
      <c r="A77" s="2" t="s">
        <v>26</v>
      </c>
      <c r="B77" s="2" t="s">
        <v>27</v>
      </c>
      <c r="C77" s="2" t="s">
        <v>39</v>
      </c>
      <c r="D77" s="2" t="s">
        <v>40</v>
      </c>
      <c r="E77" s="2">
        <v>175510</v>
      </c>
      <c r="F77" s="2" t="s">
        <v>399</v>
      </c>
    </row>
    <row r="78" spans="1:6" ht="15" customHeight="1" x14ac:dyDescent="0.35">
      <c r="A78" s="2" t="s">
        <v>26</v>
      </c>
      <c r="B78" s="2" t="s">
        <v>27</v>
      </c>
      <c r="C78" s="2" t="s">
        <v>41</v>
      </c>
      <c r="D78" s="2" t="s">
        <v>42</v>
      </c>
      <c r="E78" s="2">
        <v>394520</v>
      </c>
      <c r="F78" s="2" t="s">
        <v>400</v>
      </c>
    </row>
    <row r="79" spans="1:6" ht="15" customHeight="1" x14ac:dyDescent="0.35">
      <c r="A79" s="2" t="s">
        <v>26</v>
      </c>
      <c r="B79" s="2" t="s">
        <v>27</v>
      </c>
      <c r="C79" s="2" t="s">
        <v>43</v>
      </c>
      <c r="D79" s="2" t="s">
        <v>44</v>
      </c>
      <c r="E79" s="2">
        <v>2720</v>
      </c>
      <c r="F79" s="2" t="s">
        <v>401</v>
      </c>
    </row>
    <row r="80" spans="1:6" ht="15" customHeight="1" x14ac:dyDescent="0.35">
      <c r="A80" s="2" t="s">
        <v>26</v>
      </c>
      <c r="B80" s="2" t="s">
        <v>27</v>
      </c>
      <c r="C80" s="2" t="s">
        <v>45</v>
      </c>
      <c r="D80" s="2" t="s">
        <v>46</v>
      </c>
      <c r="E80" s="2">
        <v>4300</v>
      </c>
      <c r="F80" s="2" t="s">
        <v>402</v>
      </c>
    </row>
    <row r="81" spans="1:6" ht="15" customHeight="1" x14ac:dyDescent="0.35">
      <c r="A81" s="2" t="s">
        <v>26</v>
      </c>
      <c r="B81" s="2" t="s">
        <v>27</v>
      </c>
      <c r="C81" s="2" t="s">
        <v>47</v>
      </c>
      <c r="D81" s="2" t="s">
        <v>46</v>
      </c>
      <c r="E81" s="2">
        <v>3450</v>
      </c>
      <c r="F81" s="2" t="s">
        <v>403</v>
      </c>
    </row>
    <row r="82" spans="1:6" ht="15" customHeight="1" x14ac:dyDescent="0.35">
      <c r="A82" s="2" t="s">
        <v>26</v>
      </c>
      <c r="B82" s="2" t="s">
        <v>27</v>
      </c>
      <c r="C82" s="2" t="s">
        <v>48</v>
      </c>
      <c r="D82" s="2" t="s">
        <v>49</v>
      </c>
      <c r="E82" s="2">
        <v>3090</v>
      </c>
      <c r="F82" s="2" t="s">
        <v>404</v>
      </c>
    </row>
    <row r="83" spans="1:6" ht="15" customHeight="1" x14ac:dyDescent="0.35">
      <c r="A83" s="2" t="s">
        <v>26</v>
      </c>
      <c r="B83" s="2" t="s">
        <v>50</v>
      </c>
      <c r="C83" s="2" t="s">
        <v>10</v>
      </c>
      <c r="D83" s="2" t="s">
        <v>28</v>
      </c>
      <c r="E83" s="2">
        <v>1450</v>
      </c>
      <c r="F83" s="2" t="s">
        <v>405</v>
      </c>
    </row>
    <row r="84" spans="1:6" ht="15" customHeight="1" x14ac:dyDescent="0.35">
      <c r="A84" s="2" t="s">
        <v>26</v>
      </c>
      <c r="B84" s="2" t="s">
        <v>50</v>
      </c>
      <c r="C84" s="2" t="s">
        <v>10</v>
      </c>
      <c r="D84" s="2" t="s">
        <v>29</v>
      </c>
      <c r="E84" s="2">
        <v>1570</v>
      </c>
      <c r="F84" s="2" t="s">
        <v>406</v>
      </c>
    </row>
    <row r="85" spans="1:6" ht="15" customHeight="1" x14ac:dyDescent="0.35">
      <c r="A85" s="2" t="s">
        <v>26</v>
      </c>
      <c r="B85" s="2" t="s">
        <v>50</v>
      </c>
      <c r="C85" s="2" t="s">
        <v>10</v>
      </c>
      <c r="D85" s="2" t="s">
        <v>30</v>
      </c>
      <c r="E85" s="2">
        <v>1690</v>
      </c>
      <c r="F85" s="2" t="s">
        <v>407</v>
      </c>
    </row>
    <row r="86" spans="1:6" ht="15" customHeight="1" x14ac:dyDescent="0.35">
      <c r="A86" s="2" t="s">
        <v>26</v>
      </c>
      <c r="B86" s="2" t="s">
        <v>50</v>
      </c>
      <c r="C86" s="2" t="s">
        <v>10</v>
      </c>
      <c r="D86" s="2" t="s">
        <v>13</v>
      </c>
      <c r="E86" s="2">
        <v>2660</v>
      </c>
      <c r="F86" s="2" t="s">
        <v>408</v>
      </c>
    </row>
    <row r="87" spans="1:6" ht="15" customHeight="1" x14ac:dyDescent="0.35">
      <c r="A87" s="2" t="s">
        <v>26</v>
      </c>
      <c r="B87" s="2" t="s">
        <v>50</v>
      </c>
      <c r="C87" s="2" t="s">
        <v>10</v>
      </c>
      <c r="D87" s="2" t="s">
        <v>31</v>
      </c>
      <c r="E87" s="2">
        <v>1940</v>
      </c>
      <c r="F87" s="2" t="s">
        <v>409</v>
      </c>
    </row>
    <row r="88" spans="1:6" ht="15" customHeight="1" x14ac:dyDescent="0.35">
      <c r="A88" s="2" t="s">
        <v>26</v>
      </c>
      <c r="B88" s="2" t="s">
        <v>50</v>
      </c>
      <c r="C88" s="2" t="s">
        <v>10</v>
      </c>
      <c r="D88" s="2" t="s">
        <v>15</v>
      </c>
      <c r="E88" s="2">
        <v>1940</v>
      </c>
      <c r="F88" s="2" t="s">
        <v>410</v>
      </c>
    </row>
    <row r="89" spans="1:6" ht="15" customHeight="1" x14ac:dyDescent="0.35">
      <c r="A89" s="2" t="s">
        <v>26</v>
      </c>
      <c r="B89" s="2" t="s">
        <v>50</v>
      </c>
      <c r="C89" s="2" t="s">
        <v>10</v>
      </c>
      <c r="D89" s="2" t="s">
        <v>16</v>
      </c>
      <c r="E89" s="2">
        <v>2000</v>
      </c>
      <c r="F89" s="2" t="s">
        <v>411</v>
      </c>
    </row>
    <row r="90" spans="1:6" ht="15" customHeight="1" x14ac:dyDescent="0.35">
      <c r="A90" s="2" t="s">
        <v>26</v>
      </c>
      <c r="B90" s="2" t="s">
        <v>50</v>
      </c>
      <c r="C90" s="2" t="s">
        <v>10</v>
      </c>
      <c r="D90" s="2" t="s">
        <v>17</v>
      </c>
      <c r="E90" s="2">
        <v>1690</v>
      </c>
      <c r="F90" s="2" t="s">
        <v>412</v>
      </c>
    </row>
    <row r="91" spans="1:6" ht="15" customHeight="1" x14ac:dyDescent="0.35">
      <c r="A91" s="2" t="s">
        <v>26</v>
      </c>
      <c r="B91" s="2" t="s">
        <v>50</v>
      </c>
      <c r="C91" s="2" t="s">
        <v>10</v>
      </c>
      <c r="D91" s="2" t="s">
        <v>18</v>
      </c>
      <c r="E91" s="2">
        <v>1820</v>
      </c>
      <c r="F91" s="2" t="s">
        <v>413</v>
      </c>
    </row>
    <row r="92" spans="1:6" ht="15" customHeight="1" x14ac:dyDescent="0.35">
      <c r="A92" s="2" t="s">
        <v>26</v>
      </c>
      <c r="B92" s="2" t="s">
        <v>50</v>
      </c>
      <c r="C92" s="2" t="s">
        <v>10</v>
      </c>
      <c r="D92" s="2" t="s">
        <v>19</v>
      </c>
      <c r="E92" s="2">
        <v>1940</v>
      </c>
      <c r="F92" s="2" t="s">
        <v>414</v>
      </c>
    </row>
    <row r="93" spans="1:6" ht="15" customHeight="1" x14ac:dyDescent="0.35">
      <c r="A93" s="2" t="s">
        <v>26</v>
      </c>
      <c r="B93" s="2" t="s">
        <v>50</v>
      </c>
      <c r="C93" s="2" t="s">
        <v>10</v>
      </c>
      <c r="D93" s="2" t="s">
        <v>20</v>
      </c>
      <c r="E93" s="2">
        <v>1970</v>
      </c>
      <c r="F93" s="2" t="s">
        <v>415</v>
      </c>
    </row>
    <row r="94" spans="1:6" ht="15" customHeight="1" x14ac:dyDescent="0.35">
      <c r="A94" s="2" t="s">
        <v>26</v>
      </c>
      <c r="B94" s="2" t="s">
        <v>50</v>
      </c>
      <c r="C94" s="2" t="s">
        <v>10</v>
      </c>
      <c r="D94" s="2" t="s">
        <v>21</v>
      </c>
      <c r="E94" s="2">
        <v>2480</v>
      </c>
      <c r="F94" s="2" t="s">
        <v>416</v>
      </c>
    </row>
    <row r="95" spans="1:6" ht="15" customHeight="1" x14ac:dyDescent="0.35">
      <c r="A95" s="2" t="s">
        <v>26</v>
      </c>
      <c r="B95" s="2" t="s">
        <v>50</v>
      </c>
      <c r="C95" s="2" t="s">
        <v>32</v>
      </c>
      <c r="D95" s="2" t="s">
        <v>18</v>
      </c>
      <c r="E95" s="2">
        <v>2120</v>
      </c>
      <c r="F95" s="2" t="s">
        <v>417</v>
      </c>
    </row>
    <row r="96" spans="1:6" ht="15" customHeight="1" x14ac:dyDescent="0.35">
      <c r="A96" s="2" t="s">
        <v>26</v>
      </c>
      <c r="B96" s="2" t="s">
        <v>50</v>
      </c>
      <c r="C96" s="2" t="s">
        <v>32</v>
      </c>
      <c r="D96" s="2" t="s">
        <v>19</v>
      </c>
      <c r="E96" s="2">
        <v>2240</v>
      </c>
      <c r="F96" s="2" t="s">
        <v>418</v>
      </c>
    </row>
    <row r="97" spans="1:6" ht="15" customHeight="1" x14ac:dyDescent="0.35">
      <c r="A97" s="2" t="s">
        <v>26</v>
      </c>
      <c r="B97" s="2" t="s">
        <v>50</v>
      </c>
      <c r="C97" s="2" t="s">
        <v>32</v>
      </c>
      <c r="D97" s="2" t="s">
        <v>33</v>
      </c>
      <c r="E97" s="2">
        <v>2180</v>
      </c>
      <c r="F97" s="2" t="s">
        <v>419</v>
      </c>
    </row>
    <row r="98" spans="1:6" ht="15" customHeight="1" x14ac:dyDescent="0.35">
      <c r="A98" s="2" t="s">
        <v>26</v>
      </c>
      <c r="B98" s="2" t="s">
        <v>50</v>
      </c>
      <c r="C98" s="2" t="s">
        <v>32</v>
      </c>
      <c r="D98" s="2" t="s">
        <v>34</v>
      </c>
      <c r="E98" s="2">
        <v>2480</v>
      </c>
      <c r="F98" s="2" t="s">
        <v>420</v>
      </c>
    </row>
    <row r="99" spans="1:6" ht="15" customHeight="1" x14ac:dyDescent="0.35">
      <c r="A99" s="2" t="s">
        <v>26</v>
      </c>
      <c r="B99" s="2" t="s">
        <v>50</v>
      </c>
      <c r="C99" s="2" t="s">
        <v>32</v>
      </c>
      <c r="D99" s="2" t="s">
        <v>35</v>
      </c>
      <c r="E99" s="2">
        <v>2600</v>
      </c>
      <c r="F99" s="2" t="s">
        <v>421</v>
      </c>
    </row>
    <row r="100" spans="1:6" ht="15" customHeight="1" x14ac:dyDescent="0.35">
      <c r="A100" s="2" t="s">
        <v>26</v>
      </c>
      <c r="B100" s="2" t="s">
        <v>50</v>
      </c>
      <c r="C100" s="2" t="s">
        <v>36</v>
      </c>
      <c r="D100" s="2" t="s">
        <v>37</v>
      </c>
      <c r="E100" s="2">
        <v>83430</v>
      </c>
      <c r="F100" s="2" t="s">
        <v>422</v>
      </c>
    </row>
    <row r="101" spans="1:6" ht="15" customHeight="1" x14ac:dyDescent="0.35">
      <c r="A101" s="2" t="s">
        <v>26</v>
      </c>
      <c r="B101" s="2" t="s">
        <v>50</v>
      </c>
      <c r="C101" s="2" t="s">
        <v>36</v>
      </c>
      <c r="D101" s="2" t="s">
        <v>38</v>
      </c>
      <c r="E101" s="2">
        <v>93110</v>
      </c>
      <c r="F101" s="2" t="s">
        <v>423</v>
      </c>
    </row>
    <row r="102" spans="1:6" ht="15" customHeight="1" x14ac:dyDescent="0.35">
      <c r="A102" s="2" t="s">
        <v>26</v>
      </c>
      <c r="B102" s="2" t="s">
        <v>50</v>
      </c>
      <c r="C102" s="2" t="s">
        <v>39</v>
      </c>
      <c r="D102" s="2" t="s">
        <v>40</v>
      </c>
      <c r="E102" s="2">
        <v>175390</v>
      </c>
      <c r="F102" s="2" t="s">
        <v>424</v>
      </c>
    </row>
    <row r="103" spans="1:6" ht="15" customHeight="1" x14ac:dyDescent="0.35">
      <c r="A103" s="2" t="s">
        <v>26</v>
      </c>
      <c r="B103" s="2" t="s">
        <v>50</v>
      </c>
      <c r="C103" s="2" t="s">
        <v>41</v>
      </c>
      <c r="D103" s="2" t="s">
        <v>42</v>
      </c>
      <c r="E103" s="2">
        <v>394400</v>
      </c>
      <c r="F103" s="2" t="s">
        <v>425</v>
      </c>
    </row>
    <row r="104" spans="1:6" ht="15" customHeight="1" x14ac:dyDescent="0.35">
      <c r="A104" s="2" t="s">
        <v>26</v>
      </c>
      <c r="B104" s="2" t="s">
        <v>50</v>
      </c>
      <c r="C104" s="2" t="s">
        <v>43</v>
      </c>
      <c r="D104" s="2" t="s">
        <v>44</v>
      </c>
      <c r="E104" s="2">
        <v>2600</v>
      </c>
      <c r="F104" s="2" t="s">
        <v>426</v>
      </c>
    </row>
    <row r="105" spans="1:6" ht="15" customHeight="1" x14ac:dyDescent="0.35">
      <c r="A105" s="2" t="s">
        <v>26</v>
      </c>
      <c r="B105" s="2" t="s">
        <v>50</v>
      </c>
      <c r="C105" s="2" t="s">
        <v>45</v>
      </c>
      <c r="D105" s="2" t="s">
        <v>46</v>
      </c>
      <c r="E105" s="2">
        <v>4180</v>
      </c>
      <c r="F105" s="2" t="s">
        <v>427</v>
      </c>
    </row>
    <row r="106" spans="1:6" ht="15" customHeight="1" x14ac:dyDescent="0.35">
      <c r="A106" s="2" t="s">
        <v>26</v>
      </c>
      <c r="B106" s="2" t="s">
        <v>50</v>
      </c>
      <c r="C106" s="2" t="s">
        <v>47</v>
      </c>
      <c r="D106" s="2" t="s">
        <v>46</v>
      </c>
      <c r="E106" s="2">
        <v>3330</v>
      </c>
      <c r="F106" s="2" t="s">
        <v>428</v>
      </c>
    </row>
    <row r="107" spans="1:6" ht="15" customHeight="1" x14ac:dyDescent="0.35">
      <c r="A107" s="2" t="s">
        <v>26</v>
      </c>
      <c r="B107" s="2" t="s">
        <v>50</v>
      </c>
      <c r="C107" s="2" t="s">
        <v>48</v>
      </c>
      <c r="D107" s="2" t="s">
        <v>49</v>
      </c>
      <c r="E107" s="2">
        <v>2970</v>
      </c>
      <c r="F107" s="2" t="s">
        <v>429</v>
      </c>
    </row>
    <row r="108" spans="1:6" ht="15" customHeight="1" x14ac:dyDescent="0.35">
      <c r="A108" s="2" t="s">
        <v>26</v>
      </c>
      <c r="B108" s="2" t="s">
        <v>22</v>
      </c>
      <c r="C108" s="2" t="s">
        <v>10</v>
      </c>
      <c r="D108" s="2" t="s">
        <v>28</v>
      </c>
      <c r="E108" s="2">
        <v>1390</v>
      </c>
      <c r="F108" s="2" t="s">
        <v>430</v>
      </c>
    </row>
    <row r="109" spans="1:6" ht="15" customHeight="1" x14ac:dyDescent="0.35">
      <c r="A109" s="2" t="s">
        <v>26</v>
      </c>
      <c r="B109" s="2" t="s">
        <v>22</v>
      </c>
      <c r="C109" s="2" t="s">
        <v>10</v>
      </c>
      <c r="D109" s="2" t="s">
        <v>29</v>
      </c>
      <c r="E109" s="2">
        <v>1390</v>
      </c>
      <c r="F109" s="2" t="s">
        <v>431</v>
      </c>
    </row>
    <row r="110" spans="1:6" ht="15" customHeight="1" x14ac:dyDescent="0.35">
      <c r="A110" s="2" t="s">
        <v>26</v>
      </c>
      <c r="B110" s="2" t="s">
        <v>22</v>
      </c>
      <c r="C110" s="2" t="s">
        <v>10</v>
      </c>
      <c r="D110" s="2" t="s">
        <v>30</v>
      </c>
      <c r="E110" s="2">
        <v>1390</v>
      </c>
      <c r="F110" s="2" t="s">
        <v>432</v>
      </c>
    </row>
    <row r="111" spans="1:6" ht="15" customHeight="1" x14ac:dyDescent="0.35">
      <c r="A111" s="2" t="s">
        <v>26</v>
      </c>
      <c r="B111" s="2" t="s">
        <v>22</v>
      </c>
      <c r="C111" s="2" t="s">
        <v>10</v>
      </c>
      <c r="D111" s="2" t="s">
        <v>13</v>
      </c>
      <c r="E111" s="2">
        <v>1390</v>
      </c>
      <c r="F111" s="2" t="s">
        <v>433</v>
      </c>
    </row>
    <row r="112" spans="1:6" ht="15" customHeight="1" x14ac:dyDescent="0.35">
      <c r="A112" s="2" t="s">
        <v>26</v>
      </c>
      <c r="B112" s="2" t="s">
        <v>22</v>
      </c>
      <c r="C112" s="2" t="s">
        <v>10</v>
      </c>
      <c r="D112" s="2" t="s">
        <v>31</v>
      </c>
      <c r="E112" s="2">
        <v>1390</v>
      </c>
      <c r="F112" s="2" t="s">
        <v>434</v>
      </c>
    </row>
    <row r="113" spans="1:6" ht="15" customHeight="1" x14ac:dyDescent="0.35">
      <c r="A113" s="2" t="s">
        <v>26</v>
      </c>
      <c r="B113" s="2" t="s">
        <v>22</v>
      </c>
      <c r="C113" s="2" t="s">
        <v>10</v>
      </c>
      <c r="D113" s="2" t="s">
        <v>15</v>
      </c>
      <c r="E113" s="2">
        <v>1390</v>
      </c>
      <c r="F113" s="2" t="s">
        <v>435</v>
      </c>
    </row>
    <row r="114" spans="1:6" ht="15" customHeight="1" x14ac:dyDescent="0.35">
      <c r="A114" s="2" t="s">
        <v>26</v>
      </c>
      <c r="B114" s="2" t="s">
        <v>22</v>
      </c>
      <c r="C114" s="2" t="s">
        <v>10</v>
      </c>
      <c r="D114" s="2" t="s">
        <v>16</v>
      </c>
      <c r="E114" s="2">
        <v>1390</v>
      </c>
      <c r="F114" s="2" t="s">
        <v>436</v>
      </c>
    </row>
    <row r="115" spans="1:6" ht="15" customHeight="1" x14ac:dyDescent="0.35">
      <c r="A115" s="2" t="s">
        <v>26</v>
      </c>
      <c r="B115" s="2" t="s">
        <v>22</v>
      </c>
      <c r="C115" s="2" t="s">
        <v>10</v>
      </c>
      <c r="D115" s="2" t="s">
        <v>17</v>
      </c>
      <c r="E115" s="2">
        <v>1390</v>
      </c>
      <c r="F115" s="2" t="s">
        <v>437</v>
      </c>
    </row>
    <row r="116" spans="1:6" ht="15" customHeight="1" x14ac:dyDescent="0.35">
      <c r="A116" s="2" t="s">
        <v>26</v>
      </c>
      <c r="B116" s="2" t="s">
        <v>22</v>
      </c>
      <c r="C116" s="2" t="s">
        <v>10</v>
      </c>
      <c r="D116" s="2" t="s">
        <v>18</v>
      </c>
      <c r="E116" s="2">
        <v>1390</v>
      </c>
      <c r="F116" s="2" t="s">
        <v>438</v>
      </c>
    </row>
    <row r="117" spans="1:6" ht="15" customHeight="1" x14ac:dyDescent="0.35">
      <c r="A117" s="2" t="s">
        <v>26</v>
      </c>
      <c r="B117" s="2" t="s">
        <v>22</v>
      </c>
      <c r="C117" s="2" t="s">
        <v>10</v>
      </c>
      <c r="D117" s="2" t="s">
        <v>19</v>
      </c>
      <c r="E117" s="2">
        <v>2180</v>
      </c>
      <c r="F117" s="2" t="s">
        <v>439</v>
      </c>
    </row>
    <row r="118" spans="1:6" ht="15" customHeight="1" x14ac:dyDescent="0.35">
      <c r="A118" s="2" t="s">
        <v>26</v>
      </c>
      <c r="B118" s="2" t="s">
        <v>22</v>
      </c>
      <c r="C118" s="2" t="s">
        <v>10</v>
      </c>
      <c r="D118" s="2" t="s">
        <v>20</v>
      </c>
      <c r="E118" s="2">
        <v>2210</v>
      </c>
      <c r="F118" s="2" t="s">
        <v>440</v>
      </c>
    </row>
    <row r="119" spans="1:6" ht="15" customHeight="1" x14ac:dyDescent="0.35">
      <c r="A119" s="2" t="s">
        <v>26</v>
      </c>
      <c r="B119" s="2" t="s">
        <v>22</v>
      </c>
      <c r="C119" s="2" t="s">
        <v>10</v>
      </c>
      <c r="D119" s="2" t="s">
        <v>21</v>
      </c>
      <c r="E119" s="2">
        <v>2720</v>
      </c>
      <c r="F119" s="2" t="s">
        <v>441</v>
      </c>
    </row>
    <row r="120" spans="1:6" ht="15" customHeight="1" x14ac:dyDescent="0.35">
      <c r="A120" s="2" t="s">
        <v>26</v>
      </c>
      <c r="B120" s="2" t="s">
        <v>22</v>
      </c>
      <c r="C120" s="2" t="s">
        <v>32</v>
      </c>
      <c r="D120" s="2" t="s">
        <v>18</v>
      </c>
      <c r="E120" s="2">
        <v>2360</v>
      </c>
      <c r="F120" s="2" t="s">
        <v>442</v>
      </c>
    </row>
    <row r="121" spans="1:6" ht="15" customHeight="1" x14ac:dyDescent="0.35">
      <c r="A121" s="2" t="s">
        <v>26</v>
      </c>
      <c r="B121" s="2" t="s">
        <v>22</v>
      </c>
      <c r="C121" s="2" t="s">
        <v>32</v>
      </c>
      <c r="D121" s="2" t="s">
        <v>19</v>
      </c>
      <c r="E121" s="2">
        <v>2480</v>
      </c>
      <c r="F121" s="2" t="s">
        <v>443</v>
      </c>
    </row>
    <row r="122" spans="1:6" ht="15" customHeight="1" x14ac:dyDescent="0.35">
      <c r="A122" s="2" t="s">
        <v>26</v>
      </c>
      <c r="B122" s="2" t="s">
        <v>22</v>
      </c>
      <c r="C122" s="2" t="s">
        <v>32</v>
      </c>
      <c r="D122" s="2" t="s">
        <v>33</v>
      </c>
      <c r="E122" s="2">
        <v>2420</v>
      </c>
      <c r="F122" s="2" t="s">
        <v>444</v>
      </c>
    </row>
    <row r="123" spans="1:6" ht="15" customHeight="1" x14ac:dyDescent="0.35">
      <c r="A123" s="2" t="s">
        <v>26</v>
      </c>
      <c r="B123" s="2" t="s">
        <v>22</v>
      </c>
      <c r="C123" s="2" t="s">
        <v>32</v>
      </c>
      <c r="D123" s="2" t="s">
        <v>34</v>
      </c>
      <c r="E123" s="2">
        <v>2720</v>
      </c>
      <c r="F123" s="2" t="s">
        <v>445</v>
      </c>
    </row>
    <row r="124" spans="1:6" ht="15" customHeight="1" x14ac:dyDescent="0.35">
      <c r="A124" s="2" t="s">
        <v>26</v>
      </c>
      <c r="B124" s="2" t="s">
        <v>22</v>
      </c>
      <c r="C124" s="2" t="s">
        <v>32</v>
      </c>
      <c r="D124" s="2" t="s">
        <v>35</v>
      </c>
      <c r="E124" s="2">
        <v>2840</v>
      </c>
      <c r="F124" s="2" t="s">
        <v>446</v>
      </c>
    </row>
    <row r="125" spans="1:6" ht="15" customHeight="1" x14ac:dyDescent="0.35">
      <c r="A125" s="2" t="s">
        <v>26</v>
      </c>
      <c r="B125" s="2" t="s">
        <v>22</v>
      </c>
      <c r="C125" s="2" t="s">
        <v>36</v>
      </c>
      <c r="D125" s="2" t="s">
        <v>37</v>
      </c>
      <c r="E125" s="2">
        <v>83670</v>
      </c>
      <c r="F125" s="2" t="s">
        <v>447</v>
      </c>
    </row>
    <row r="126" spans="1:6" ht="15" customHeight="1" x14ac:dyDescent="0.35">
      <c r="A126" s="2" t="s">
        <v>26</v>
      </c>
      <c r="B126" s="2" t="s">
        <v>22</v>
      </c>
      <c r="C126" s="2" t="s">
        <v>36</v>
      </c>
      <c r="D126" s="2" t="s">
        <v>38</v>
      </c>
      <c r="E126" s="2">
        <v>93350</v>
      </c>
      <c r="F126" s="2" t="s">
        <v>448</v>
      </c>
    </row>
    <row r="127" spans="1:6" ht="15" customHeight="1" x14ac:dyDescent="0.35">
      <c r="A127" s="2" t="s">
        <v>26</v>
      </c>
      <c r="B127" s="2" t="s">
        <v>22</v>
      </c>
      <c r="C127" s="2" t="s">
        <v>39</v>
      </c>
      <c r="D127" s="2" t="s">
        <v>40</v>
      </c>
      <c r="E127" s="2">
        <v>175630</v>
      </c>
      <c r="F127" s="2" t="s">
        <v>449</v>
      </c>
    </row>
    <row r="128" spans="1:6" ht="15" customHeight="1" x14ac:dyDescent="0.35">
      <c r="A128" s="2" t="s">
        <v>26</v>
      </c>
      <c r="B128" s="2" t="s">
        <v>22</v>
      </c>
      <c r="C128" s="2" t="s">
        <v>41</v>
      </c>
      <c r="D128" s="2" t="s">
        <v>42</v>
      </c>
      <c r="E128" s="2">
        <v>394640</v>
      </c>
      <c r="F128" s="2" t="s">
        <v>450</v>
      </c>
    </row>
    <row r="129" spans="1:6" ht="15" customHeight="1" x14ac:dyDescent="0.35">
      <c r="A129" s="2" t="s">
        <v>26</v>
      </c>
      <c r="B129" s="2" t="s">
        <v>22</v>
      </c>
      <c r="C129" s="2" t="s">
        <v>43</v>
      </c>
      <c r="D129" s="2" t="s">
        <v>44</v>
      </c>
      <c r="E129" s="2">
        <v>2840</v>
      </c>
      <c r="F129" s="2" t="s">
        <v>451</v>
      </c>
    </row>
    <row r="130" spans="1:6" ht="15" customHeight="1" x14ac:dyDescent="0.35">
      <c r="A130" s="2" t="s">
        <v>26</v>
      </c>
      <c r="B130" s="2" t="s">
        <v>22</v>
      </c>
      <c r="C130" s="2" t="s">
        <v>45</v>
      </c>
      <c r="D130" s="2" t="s">
        <v>46</v>
      </c>
      <c r="E130" s="2">
        <v>4420</v>
      </c>
      <c r="F130" s="2" t="s">
        <v>452</v>
      </c>
    </row>
    <row r="131" spans="1:6" ht="15" customHeight="1" x14ac:dyDescent="0.35">
      <c r="A131" s="2" t="s">
        <v>26</v>
      </c>
      <c r="B131" s="2" t="s">
        <v>22</v>
      </c>
      <c r="C131" s="2" t="s">
        <v>47</v>
      </c>
      <c r="D131" s="2" t="s">
        <v>46</v>
      </c>
      <c r="E131" s="2">
        <v>3570</v>
      </c>
      <c r="F131" s="2" t="s">
        <v>453</v>
      </c>
    </row>
    <row r="132" spans="1:6" ht="15" customHeight="1" x14ac:dyDescent="0.35">
      <c r="A132" s="2" t="s">
        <v>26</v>
      </c>
      <c r="B132" s="2" t="s">
        <v>22</v>
      </c>
      <c r="C132" s="2" t="s">
        <v>48</v>
      </c>
      <c r="D132" s="2" t="s">
        <v>49</v>
      </c>
      <c r="E132" s="2">
        <v>3210</v>
      </c>
      <c r="F132" s="2" t="s">
        <v>454</v>
      </c>
    </row>
    <row r="133" spans="1:6" ht="15" customHeight="1" x14ac:dyDescent="0.35">
      <c r="A133" s="2" t="s">
        <v>26</v>
      </c>
      <c r="B133" s="2" t="s">
        <v>51</v>
      </c>
      <c r="C133" s="2" t="s">
        <v>10</v>
      </c>
      <c r="D133" s="2" t="s">
        <v>28</v>
      </c>
      <c r="E133" s="2">
        <v>1330</v>
      </c>
      <c r="F133" s="2" t="s">
        <v>455</v>
      </c>
    </row>
    <row r="134" spans="1:6" ht="15" customHeight="1" x14ac:dyDescent="0.35">
      <c r="A134" s="2" t="s">
        <v>26</v>
      </c>
      <c r="B134" s="2" t="s">
        <v>51</v>
      </c>
      <c r="C134" s="2" t="s">
        <v>10</v>
      </c>
      <c r="D134" s="2" t="s">
        <v>29</v>
      </c>
      <c r="E134" s="2">
        <v>1450</v>
      </c>
      <c r="F134" s="2" t="s">
        <v>456</v>
      </c>
    </row>
    <row r="135" spans="1:6" ht="15" customHeight="1" x14ac:dyDescent="0.35">
      <c r="A135" s="2" t="s">
        <v>26</v>
      </c>
      <c r="B135" s="2" t="s">
        <v>51</v>
      </c>
      <c r="C135" s="2" t="s">
        <v>10</v>
      </c>
      <c r="D135" s="2" t="s">
        <v>30</v>
      </c>
      <c r="E135" s="2">
        <v>1570</v>
      </c>
      <c r="F135" s="2" t="s">
        <v>457</v>
      </c>
    </row>
    <row r="136" spans="1:6" ht="15" customHeight="1" x14ac:dyDescent="0.35">
      <c r="A136" s="2" t="s">
        <v>26</v>
      </c>
      <c r="B136" s="2" t="s">
        <v>51</v>
      </c>
      <c r="C136" s="2" t="s">
        <v>10</v>
      </c>
      <c r="D136" s="2" t="s">
        <v>13</v>
      </c>
      <c r="E136" s="2">
        <v>2540</v>
      </c>
      <c r="F136" s="2" t="s">
        <v>458</v>
      </c>
    </row>
    <row r="137" spans="1:6" ht="15" customHeight="1" x14ac:dyDescent="0.35">
      <c r="A137" s="2" t="s">
        <v>26</v>
      </c>
      <c r="B137" s="2" t="s">
        <v>51</v>
      </c>
      <c r="C137" s="2" t="s">
        <v>10</v>
      </c>
      <c r="D137" s="2" t="s">
        <v>31</v>
      </c>
      <c r="E137" s="2">
        <v>1820</v>
      </c>
      <c r="F137" s="2" t="s">
        <v>459</v>
      </c>
    </row>
    <row r="138" spans="1:6" ht="15" customHeight="1" x14ac:dyDescent="0.35">
      <c r="A138" s="2" t="s">
        <v>26</v>
      </c>
      <c r="B138" s="2" t="s">
        <v>51</v>
      </c>
      <c r="C138" s="2" t="s">
        <v>10</v>
      </c>
      <c r="D138" s="2" t="s">
        <v>15</v>
      </c>
      <c r="E138" s="2">
        <v>1820</v>
      </c>
      <c r="F138" s="2" t="s">
        <v>460</v>
      </c>
    </row>
    <row r="139" spans="1:6" ht="15" customHeight="1" x14ac:dyDescent="0.35">
      <c r="A139" s="2" t="s">
        <v>26</v>
      </c>
      <c r="B139" s="2" t="s">
        <v>51</v>
      </c>
      <c r="C139" s="2" t="s">
        <v>10</v>
      </c>
      <c r="D139" s="2" t="s">
        <v>16</v>
      </c>
      <c r="E139" s="2">
        <v>1880</v>
      </c>
      <c r="F139" s="2" t="s">
        <v>461</v>
      </c>
    </row>
    <row r="140" spans="1:6" ht="15" customHeight="1" x14ac:dyDescent="0.35">
      <c r="A140" s="2" t="s">
        <v>26</v>
      </c>
      <c r="B140" s="2" t="s">
        <v>51</v>
      </c>
      <c r="C140" s="2" t="s">
        <v>10</v>
      </c>
      <c r="D140" s="2" t="s">
        <v>17</v>
      </c>
      <c r="E140" s="2">
        <v>1570</v>
      </c>
      <c r="F140" s="2" t="s">
        <v>462</v>
      </c>
    </row>
    <row r="141" spans="1:6" ht="15" customHeight="1" x14ac:dyDescent="0.35">
      <c r="A141" s="2" t="s">
        <v>26</v>
      </c>
      <c r="B141" s="2" t="s">
        <v>51</v>
      </c>
      <c r="C141" s="2" t="s">
        <v>10</v>
      </c>
      <c r="D141" s="2" t="s">
        <v>18</v>
      </c>
      <c r="E141" s="2">
        <v>1700</v>
      </c>
      <c r="F141" s="2" t="s">
        <v>463</v>
      </c>
    </row>
    <row r="142" spans="1:6" ht="15" customHeight="1" x14ac:dyDescent="0.35">
      <c r="A142" s="2" t="s">
        <v>26</v>
      </c>
      <c r="B142" s="2" t="s">
        <v>51</v>
      </c>
      <c r="C142" s="2" t="s">
        <v>10</v>
      </c>
      <c r="D142" s="2" t="s">
        <v>19</v>
      </c>
      <c r="E142" s="2">
        <v>1820</v>
      </c>
      <c r="F142" s="2" t="s">
        <v>464</v>
      </c>
    </row>
    <row r="143" spans="1:6" ht="15" customHeight="1" x14ac:dyDescent="0.35">
      <c r="A143" s="2" t="s">
        <v>26</v>
      </c>
      <c r="B143" s="2" t="s">
        <v>51</v>
      </c>
      <c r="C143" s="2" t="s">
        <v>10</v>
      </c>
      <c r="D143" s="2" t="s">
        <v>20</v>
      </c>
      <c r="E143" s="2">
        <v>1850</v>
      </c>
      <c r="F143" s="2" t="s">
        <v>465</v>
      </c>
    </row>
    <row r="144" spans="1:6" ht="15" customHeight="1" x14ac:dyDescent="0.35">
      <c r="A144" s="2" t="s">
        <v>26</v>
      </c>
      <c r="B144" s="2" t="s">
        <v>51</v>
      </c>
      <c r="C144" s="2" t="s">
        <v>10</v>
      </c>
      <c r="D144" s="2" t="s">
        <v>21</v>
      </c>
      <c r="E144" s="2">
        <v>2360</v>
      </c>
      <c r="F144" s="2" t="s">
        <v>466</v>
      </c>
    </row>
    <row r="145" spans="1:6" ht="15" customHeight="1" x14ac:dyDescent="0.35">
      <c r="A145" s="2" t="s">
        <v>26</v>
      </c>
      <c r="B145" s="2" t="s">
        <v>51</v>
      </c>
      <c r="C145" s="2" t="s">
        <v>32</v>
      </c>
      <c r="D145" s="2" t="s">
        <v>18</v>
      </c>
      <c r="E145" s="2">
        <v>1700</v>
      </c>
      <c r="F145" s="2" t="s">
        <v>467</v>
      </c>
    </row>
    <row r="146" spans="1:6" ht="15" customHeight="1" x14ac:dyDescent="0.35">
      <c r="A146" s="2" t="s">
        <v>26</v>
      </c>
      <c r="B146" s="2" t="s">
        <v>51</v>
      </c>
      <c r="C146" s="2" t="s">
        <v>32</v>
      </c>
      <c r="D146" s="2" t="s">
        <v>19</v>
      </c>
      <c r="E146" s="2">
        <v>2120</v>
      </c>
      <c r="F146" s="2" t="s">
        <v>468</v>
      </c>
    </row>
    <row r="147" spans="1:6" ht="15" customHeight="1" x14ac:dyDescent="0.35">
      <c r="A147" s="2" t="s">
        <v>26</v>
      </c>
      <c r="B147" s="2" t="s">
        <v>51</v>
      </c>
      <c r="C147" s="2" t="s">
        <v>32</v>
      </c>
      <c r="D147" s="2" t="s">
        <v>33</v>
      </c>
      <c r="E147" s="2">
        <v>2060</v>
      </c>
      <c r="F147" s="2" t="s">
        <v>469</v>
      </c>
    </row>
    <row r="148" spans="1:6" ht="15" customHeight="1" x14ac:dyDescent="0.35">
      <c r="A148" s="2" t="s">
        <v>26</v>
      </c>
      <c r="B148" s="2" t="s">
        <v>51</v>
      </c>
      <c r="C148" s="2" t="s">
        <v>32</v>
      </c>
      <c r="D148" s="2" t="s">
        <v>34</v>
      </c>
      <c r="E148" s="2">
        <v>2360</v>
      </c>
      <c r="F148" s="2" t="s">
        <v>470</v>
      </c>
    </row>
    <row r="149" spans="1:6" ht="15" customHeight="1" x14ac:dyDescent="0.35">
      <c r="A149" s="2" t="s">
        <v>26</v>
      </c>
      <c r="B149" s="2" t="s">
        <v>51</v>
      </c>
      <c r="C149" s="2" t="s">
        <v>32</v>
      </c>
      <c r="D149" s="2" t="s">
        <v>35</v>
      </c>
      <c r="E149" s="2">
        <v>2480</v>
      </c>
      <c r="F149" s="2" t="s">
        <v>471</v>
      </c>
    </row>
    <row r="150" spans="1:6" ht="15" customHeight="1" x14ac:dyDescent="0.35">
      <c r="A150" s="2" t="s">
        <v>26</v>
      </c>
      <c r="B150" s="2" t="s">
        <v>51</v>
      </c>
      <c r="C150" s="2" t="s">
        <v>36</v>
      </c>
      <c r="D150" s="2" t="s">
        <v>37</v>
      </c>
      <c r="E150" s="2">
        <v>83310</v>
      </c>
      <c r="F150" s="2" t="s">
        <v>472</v>
      </c>
    </row>
    <row r="151" spans="1:6" ht="15" customHeight="1" x14ac:dyDescent="0.35">
      <c r="A151" s="2" t="s">
        <v>26</v>
      </c>
      <c r="B151" s="2" t="s">
        <v>51</v>
      </c>
      <c r="C151" s="2" t="s">
        <v>36</v>
      </c>
      <c r="D151" s="2" t="s">
        <v>38</v>
      </c>
      <c r="E151" s="2">
        <v>92990</v>
      </c>
      <c r="F151" s="2" t="s">
        <v>473</v>
      </c>
    </row>
    <row r="152" spans="1:6" ht="15" customHeight="1" x14ac:dyDescent="0.35">
      <c r="A152" s="2" t="s">
        <v>26</v>
      </c>
      <c r="B152" s="2" t="s">
        <v>51</v>
      </c>
      <c r="C152" s="2" t="s">
        <v>39</v>
      </c>
      <c r="D152" s="2" t="s">
        <v>40</v>
      </c>
      <c r="E152" s="2">
        <v>175270</v>
      </c>
      <c r="F152" s="2" t="s">
        <v>474</v>
      </c>
    </row>
    <row r="153" spans="1:6" ht="15" customHeight="1" x14ac:dyDescent="0.35">
      <c r="A153" s="2" t="s">
        <v>26</v>
      </c>
      <c r="B153" s="2" t="s">
        <v>51</v>
      </c>
      <c r="C153" s="2" t="s">
        <v>41</v>
      </c>
      <c r="D153" s="2" t="s">
        <v>42</v>
      </c>
      <c r="E153" s="2">
        <v>394280</v>
      </c>
      <c r="F153" s="2" t="s">
        <v>475</v>
      </c>
    </row>
    <row r="154" spans="1:6" ht="15" customHeight="1" x14ac:dyDescent="0.35">
      <c r="A154" s="2" t="s">
        <v>26</v>
      </c>
      <c r="B154" s="2" t="s">
        <v>51</v>
      </c>
      <c r="C154" s="2" t="s">
        <v>43</v>
      </c>
      <c r="D154" s="2" t="s">
        <v>44</v>
      </c>
      <c r="E154" s="2">
        <v>2480</v>
      </c>
      <c r="F154" s="2" t="s">
        <v>476</v>
      </c>
    </row>
    <row r="155" spans="1:6" ht="15" customHeight="1" x14ac:dyDescent="0.35">
      <c r="A155" s="2" t="s">
        <v>26</v>
      </c>
      <c r="B155" s="2" t="s">
        <v>51</v>
      </c>
      <c r="C155" s="2" t="s">
        <v>45</v>
      </c>
      <c r="D155" s="2" t="s">
        <v>46</v>
      </c>
      <c r="E155" s="2">
        <v>4060</v>
      </c>
      <c r="F155" s="2" t="s">
        <v>477</v>
      </c>
    </row>
    <row r="156" spans="1:6" ht="15" customHeight="1" x14ac:dyDescent="0.35">
      <c r="A156" s="2" t="s">
        <v>26</v>
      </c>
      <c r="B156" s="2" t="s">
        <v>51</v>
      </c>
      <c r="C156" s="2" t="s">
        <v>47</v>
      </c>
      <c r="D156" s="2" t="s">
        <v>46</v>
      </c>
      <c r="E156" s="2">
        <v>3210</v>
      </c>
      <c r="F156" s="2" t="s">
        <v>478</v>
      </c>
    </row>
    <row r="157" spans="1:6" ht="15" customHeight="1" x14ac:dyDescent="0.35">
      <c r="A157" s="2" t="s">
        <v>26</v>
      </c>
      <c r="B157" s="2" t="s">
        <v>51</v>
      </c>
      <c r="C157" s="2" t="s">
        <v>48</v>
      </c>
      <c r="D157" s="2" t="s">
        <v>49</v>
      </c>
      <c r="E157" s="2">
        <v>2850</v>
      </c>
      <c r="F157" s="2" t="s">
        <v>479</v>
      </c>
    </row>
    <row r="158" spans="1:6" ht="15" customHeight="1" x14ac:dyDescent="0.35">
      <c r="A158" s="2" t="s">
        <v>26</v>
      </c>
      <c r="B158" s="2" t="s">
        <v>52</v>
      </c>
      <c r="C158" s="2" t="s">
        <v>10</v>
      </c>
      <c r="D158" s="2" t="s">
        <v>28</v>
      </c>
      <c r="E158" s="2">
        <v>1510</v>
      </c>
      <c r="F158" s="2" t="s">
        <v>480</v>
      </c>
    </row>
    <row r="159" spans="1:6" ht="15" customHeight="1" x14ac:dyDescent="0.35">
      <c r="A159" s="2" t="s">
        <v>26</v>
      </c>
      <c r="B159" s="2" t="s">
        <v>52</v>
      </c>
      <c r="C159" s="2" t="s">
        <v>10</v>
      </c>
      <c r="D159" s="2" t="s">
        <v>29</v>
      </c>
      <c r="E159" s="2">
        <v>1630</v>
      </c>
      <c r="F159" s="2" t="s">
        <v>481</v>
      </c>
    </row>
    <row r="160" spans="1:6" ht="15" customHeight="1" x14ac:dyDescent="0.35">
      <c r="A160" s="2" t="s">
        <v>26</v>
      </c>
      <c r="B160" s="2" t="s">
        <v>52</v>
      </c>
      <c r="C160" s="2" t="s">
        <v>10</v>
      </c>
      <c r="D160" s="2" t="s">
        <v>30</v>
      </c>
      <c r="E160" s="2">
        <v>1750</v>
      </c>
      <c r="F160" s="2" t="s">
        <v>482</v>
      </c>
    </row>
    <row r="161" spans="1:6" ht="15" customHeight="1" x14ac:dyDescent="0.35">
      <c r="A161" s="2" t="s">
        <v>26</v>
      </c>
      <c r="B161" s="2" t="s">
        <v>52</v>
      </c>
      <c r="C161" s="2" t="s">
        <v>10</v>
      </c>
      <c r="D161" s="2" t="s">
        <v>13</v>
      </c>
      <c r="E161" s="2">
        <v>2720</v>
      </c>
      <c r="F161" s="2" t="s">
        <v>483</v>
      </c>
    </row>
    <row r="162" spans="1:6" ht="15" customHeight="1" x14ac:dyDescent="0.35">
      <c r="A162" s="2" t="s">
        <v>26</v>
      </c>
      <c r="B162" s="2" t="s">
        <v>52</v>
      </c>
      <c r="C162" s="2" t="s">
        <v>10</v>
      </c>
      <c r="D162" s="2" t="s">
        <v>31</v>
      </c>
      <c r="E162" s="2">
        <v>2000</v>
      </c>
      <c r="F162" s="2" t="s">
        <v>484</v>
      </c>
    </row>
    <row r="163" spans="1:6" ht="15" customHeight="1" x14ac:dyDescent="0.35">
      <c r="A163" s="2" t="s">
        <v>26</v>
      </c>
      <c r="B163" s="2" t="s">
        <v>52</v>
      </c>
      <c r="C163" s="2" t="s">
        <v>10</v>
      </c>
      <c r="D163" s="2" t="s">
        <v>15</v>
      </c>
      <c r="E163" s="2">
        <v>2000</v>
      </c>
      <c r="F163" s="2" t="s">
        <v>485</v>
      </c>
    </row>
    <row r="164" spans="1:6" ht="15" customHeight="1" x14ac:dyDescent="0.35">
      <c r="A164" s="2" t="s">
        <v>26</v>
      </c>
      <c r="B164" s="2" t="s">
        <v>52</v>
      </c>
      <c r="C164" s="2" t="s">
        <v>10</v>
      </c>
      <c r="D164" s="2" t="s">
        <v>16</v>
      </c>
      <c r="E164" s="2">
        <v>2060</v>
      </c>
      <c r="F164" s="2" t="s">
        <v>486</v>
      </c>
    </row>
    <row r="165" spans="1:6" ht="15" customHeight="1" x14ac:dyDescent="0.35">
      <c r="A165" s="2" t="s">
        <v>26</v>
      </c>
      <c r="B165" s="2" t="s">
        <v>52</v>
      </c>
      <c r="C165" s="2" t="s">
        <v>10</v>
      </c>
      <c r="D165" s="2" t="s">
        <v>17</v>
      </c>
      <c r="E165" s="2">
        <v>1750</v>
      </c>
      <c r="F165" s="2" t="s">
        <v>487</v>
      </c>
    </row>
    <row r="166" spans="1:6" ht="15" customHeight="1" x14ac:dyDescent="0.35">
      <c r="A166" s="2" t="s">
        <v>26</v>
      </c>
      <c r="B166" s="2" t="s">
        <v>52</v>
      </c>
      <c r="C166" s="2" t="s">
        <v>10</v>
      </c>
      <c r="D166" s="2" t="s">
        <v>18</v>
      </c>
      <c r="E166" s="2">
        <v>1880</v>
      </c>
      <c r="F166" s="2" t="s">
        <v>488</v>
      </c>
    </row>
    <row r="167" spans="1:6" ht="15" customHeight="1" x14ac:dyDescent="0.35">
      <c r="A167" s="2" t="s">
        <v>26</v>
      </c>
      <c r="B167" s="2" t="s">
        <v>52</v>
      </c>
      <c r="C167" s="2" t="s">
        <v>10</v>
      </c>
      <c r="D167" s="2" t="s">
        <v>19</v>
      </c>
      <c r="E167" s="2">
        <v>2000</v>
      </c>
      <c r="F167" s="2" t="s">
        <v>489</v>
      </c>
    </row>
    <row r="168" spans="1:6" ht="15" customHeight="1" x14ac:dyDescent="0.35">
      <c r="A168" s="2" t="s">
        <v>26</v>
      </c>
      <c r="B168" s="2" t="s">
        <v>52</v>
      </c>
      <c r="C168" s="2" t="s">
        <v>10</v>
      </c>
      <c r="D168" s="2" t="s">
        <v>20</v>
      </c>
      <c r="E168" s="2">
        <v>2030</v>
      </c>
      <c r="F168" s="2" t="s">
        <v>490</v>
      </c>
    </row>
    <row r="169" spans="1:6" ht="15" customHeight="1" x14ac:dyDescent="0.35">
      <c r="A169" s="2" t="s">
        <v>26</v>
      </c>
      <c r="B169" s="2" t="s">
        <v>52</v>
      </c>
      <c r="C169" s="2" t="s">
        <v>10</v>
      </c>
      <c r="D169" s="2" t="s">
        <v>21</v>
      </c>
      <c r="E169" s="2">
        <v>2540</v>
      </c>
      <c r="F169" s="2" t="s">
        <v>491</v>
      </c>
    </row>
    <row r="170" spans="1:6" ht="15" customHeight="1" x14ac:dyDescent="0.35">
      <c r="A170" s="2" t="s">
        <v>26</v>
      </c>
      <c r="B170" s="2" t="s">
        <v>52</v>
      </c>
      <c r="C170" s="2" t="s">
        <v>32</v>
      </c>
      <c r="D170" s="2" t="s">
        <v>18</v>
      </c>
      <c r="E170" s="2">
        <v>2180</v>
      </c>
      <c r="F170" s="2" t="s">
        <v>492</v>
      </c>
    </row>
    <row r="171" spans="1:6" ht="15" customHeight="1" x14ac:dyDescent="0.35">
      <c r="A171" s="2" t="s">
        <v>26</v>
      </c>
      <c r="B171" s="2" t="s">
        <v>52</v>
      </c>
      <c r="C171" s="2" t="s">
        <v>32</v>
      </c>
      <c r="D171" s="2" t="s">
        <v>19</v>
      </c>
      <c r="E171" s="2">
        <v>2300</v>
      </c>
      <c r="F171" s="2" t="s">
        <v>493</v>
      </c>
    </row>
    <row r="172" spans="1:6" ht="15" customHeight="1" x14ac:dyDescent="0.35">
      <c r="A172" s="2" t="s">
        <v>26</v>
      </c>
      <c r="B172" s="2" t="s">
        <v>52</v>
      </c>
      <c r="C172" s="2" t="s">
        <v>32</v>
      </c>
      <c r="D172" s="2" t="s">
        <v>33</v>
      </c>
      <c r="E172" s="2">
        <v>2240</v>
      </c>
      <c r="F172" s="2" t="s">
        <v>494</v>
      </c>
    </row>
    <row r="173" spans="1:6" ht="15" customHeight="1" x14ac:dyDescent="0.35">
      <c r="A173" s="2" t="s">
        <v>26</v>
      </c>
      <c r="B173" s="2" t="s">
        <v>52</v>
      </c>
      <c r="C173" s="2" t="s">
        <v>32</v>
      </c>
      <c r="D173" s="2" t="s">
        <v>34</v>
      </c>
      <c r="E173" s="2">
        <v>2540</v>
      </c>
      <c r="F173" s="2" t="s">
        <v>495</v>
      </c>
    </row>
    <row r="174" spans="1:6" ht="15" customHeight="1" x14ac:dyDescent="0.35">
      <c r="A174" s="2" t="s">
        <v>26</v>
      </c>
      <c r="B174" s="2" t="s">
        <v>52</v>
      </c>
      <c r="C174" s="2" t="s">
        <v>32</v>
      </c>
      <c r="D174" s="2" t="s">
        <v>35</v>
      </c>
      <c r="E174" s="2">
        <v>2660</v>
      </c>
      <c r="F174" s="2" t="s">
        <v>496</v>
      </c>
    </row>
    <row r="175" spans="1:6" ht="15" customHeight="1" x14ac:dyDescent="0.35">
      <c r="A175" s="2" t="s">
        <v>26</v>
      </c>
      <c r="B175" s="2" t="s">
        <v>52</v>
      </c>
      <c r="C175" s="2" t="s">
        <v>36</v>
      </c>
      <c r="D175" s="2" t="s">
        <v>37</v>
      </c>
      <c r="E175" s="2">
        <v>83490</v>
      </c>
      <c r="F175" s="2" t="s">
        <v>497</v>
      </c>
    </row>
    <row r="176" spans="1:6" ht="15" customHeight="1" x14ac:dyDescent="0.35">
      <c r="A176" s="2" t="s">
        <v>26</v>
      </c>
      <c r="B176" s="2" t="s">
        <v>52</v>
      </c>
      <c r="C176" s="2" t="s">
        <v>36</v>
      </c>
      <c r="D176" s="2" t="s">
        <v>38</v>
      </c>
      <c r="E176" s="2">
        <v>93170</v>
      </c>
      <c r="F176" s="2" t="s">
        <v>498</v>
      </c>
    </row>
    <row r="177" spans="1:6" ht="15" customHeight="1" x14ac:dyDescent="0.35">
      <c r="A177" s="2" t="s">
        <v>26</v>
      </c>
      <c r="B177" s="2" t="s">
        <v>52</v>
      </c>
      <c r="C177" s="2" t="s">
        <v>39</v>
      </c>
      <c r="D177" s="2" t="s">
        <v>40</v>
      </c>
      <c r="E177" s="2">
        <v>175450</v>
      </c>
      <c r="F177" s="2" t="s">
        <v>499</v>
      </c>
    </row>
    <row r="178" spans="1:6" ht="15" customHeight="1" x14ac:dyDescent="0.35">
      <c r="A178" s="2" t="s">
        <v>26</v>
      </c>
      <c r="B178" s="2" t="s">
        <v>52</v>
      </c>
      <c r="C178" s="2" t="s">
        <v>41</v>
      </c>
      <c r="D178" s="2" t="s">
        <v>42</v>
      </c>
      <c r="E178" s="2">
        <v>394460</v>
      </c>
      <c r="F178" s="2" t="s">
        <v>500</v>
      </c>
    </row>
    <row r="179" spans="1:6" ht="15" customHeight="1" x14ac:dyDescent="0.35">
      <c r="A179" s="2" t="s">
        <v>26</v>
      </c>
      <c r="B179" s="2" t="s">
        <v>52</v>
      </c>
      <c r="C179" s="2" t="s">
        <v>43</v>
      </c>
      <c r="D179" s="2" t="s">
        <v>44</v>
      </c>
      <c r="E179" s="2">
        <v>2660</v>
      </c>
      <c r="F179" s="2" t="s">
        <v>501</v>
      </c>
    </row>
    <row r="180" spans="1:6" ht="15" customHeight="1" x14ac:dyDescent="0.35">
      <c r="A180" s="2" t="s">
        <v>26</v>
      </c>
      <c r="B180" s="2" t="s">
        <v>52</v>
      </c>
      <c r="C180" s="2" t="s">
        <v>45</v>
      </c>
      <c r="D180" s="2" t="s">
        <v>46</v>
      </c>
      <c r="E180" s="2">
        <v>4240</v>
      </c>
      <c r="F180" s="2" t="s">
        <v>502</v>
      </c>
    </row>
    <row r="181" spans="1:6" ht="15" customHeight="1" x14ac:dyDescent="0.35">
      <c r="A181" s="2" t="s">
        <v>26</v>
      </c>
      <c r="B181" s="2" t="s">
        <v>52</v>
      </c>
      <c r="C181" s="2" t="s">
        <v>47</v>
      </c>
      <c r="D181" s="2" t="s">
        <v>46</v>
      </c>
      <c r="E181" s="2">
        <v>3390</v>
      </c>
      <c r="F181" s="2" t="s">
        <v>503</v>
      </c>
    </row>
    <row r="182" spans="1:6" ht="15" customHeight="1" x14ac:dyDescent="0.35">
      <c r="A182" s="2" t="s">
        <v>26</v>
      </c>
      <c r="B182" s="2" t="s">
        <v>52</v>
      </c>
      <c r="C182" s="2" t="s">
        <v>48</v>
      </c>
      <c r="D182" s="2" t="s">
        <v>49</v>
      </c>
      <c r="E182" s="2">
        <v>3030</v>
      </c>
      <c r="F182" s="2" t="s">
        <v>504</v>
      </c>
    </row>
    <row r="183" spans="1:6" ht="15" customHeight="1" x14ac:dyDescent="0.35">
      <c r="A183" s="2" t="s">
        <v>25</v>
      </c>
      <c r="B183" s="2" t="s">
        <v>27</v>
      </c>
      <c r="C183" s="2" t="s">
        <v>10</v>
      </c>
      <c r="D183" s="2" t="s">
        <v>28</v>
      </c>
      <c r="E183" s="2">
        <v>1450</v>
      </c>
      <c r="F183" s="2" t="s">
        <v>505</v>
      </c>
    </row>
    <row r="184" spans="1:6" ht="15" customHeight="1" x14ac:dyDescent="0.35">
      <c r="A184" s="2" t="s">
        <v>25</v>
      </c>
      <c r="B184" s="2" t="s">
        <v>27</v>
      </c>
      <c r="C184" s="2" t="s">
        <v>10</v>
      </c>
      <c r="D184" s="2" t="s">
        <v>29</v>
      </c>
      <c r="E184" s="2">
        <v>1570</v>
      </c>
      <c r="F184" s="2" t="s">
        <v>506</v>
      </c>
    </row>
    <row r="185" spans="1:6" ht="15" customHeight="1" x14ac:dyDescent="0.35">
      <c r="A185" s="2" t="s">
        <v>25</v>
      </c>
      <c r="B185" s="2" t="s">
        <v>27</v>
      </c>
      <c r="C185" s="2" t="s">
        <v>10</v>
      </c>
      <c r="D185" s="2" t="s">
        <v>30</v>
      </c>
      <c r="E185" s="2">
        <v>1690</v>
      </c>
      <c r="F185" s="2" t="s">
        <v>507</v>
      </c>
    </row>
    <row r="186" spans="1:6" ht="15" customHeight="1" x14ac:dyDescent="0.35">
      <c r="A186" s="2" t="s">
        <v>25</v>
      </c>
      <c r="B186" s="2" t="s">
        <v>27</v>
      </c>
      <c r="C186" s="2" t="s">
        <v>10</v>
      </c>
      <c r="D186" s="2" t="s">
        <v>13</v>
      </c>
      <c r="E186" s="2">
        <v>2660</v>
      </c>
      <c r="F186" s="2" t="s">
        <v>508</v>
      </c>
    </row>
    <row r="187" spans="1:6" ht="15" customHeight="1" x14ac:dyDescent="0.35">
      <c r="A187" s="2" t="s">
        <v>25</v>
      </c>
      <c r="B187" s="2" t="s">
        <v>27</v>
      </c>
      <c r="C187" s="2" t="s">
        <v>10</v>
      </c>
      <c r="D187" s="2" t="s">
        <v>31</v>
      </c>
      <c r="E187" s="2">
        <v>1940</v>
      </c>
      <c r="F187" s="2" t="s">
        <v>509</v>
      </c>
    </row>
    <row r="188" spans="1:6" ht="15" customHeight="1" x14ac:dyDescent="0.35">
      <c r="A188" s="2" t="s">
        <v>25</v>
      </c>
      <c r="B188" s="2" t="s">
        <v>27</v>
      </c>
      <c r="C188" s="2" t="s">
        <v>10</v>
      </c>
      <c r="D188" s="2" t="s">
        <v>15</v>
      </c>
      <c r="E188" s="2">
        <v>1940</v>
      </c>
      <c r="F188" s="2" t="s">
        <v>510</v>
      </c>
    </row>
    <row r="189" spans="1:6" ht="15" customHeight="1" x14ac:dyDescent="0.35">
      <c r="A189" s="2" t="s">
        <v>25</v>
      </c>
      <c r="B189" s="2" t="s">
        <v>27</v>
      </c>
      <c r="C189" s="2" t="s">
        <v>10</v>
      </c>
      <c r="D189" s="2" t="s">
        <v>16</v>
      </c>
      <c r="E189" s="2">
        <v>2000</v>
      </c>
      <c r="F189" s="2" t="s">
        <v>511</v>
      </c>
    </row>
    <row r="190" spans="1:6" ht="15" customHeight="1" x14ac:dyDescent="0.35">
      <c r="A190" s="2" t="s">
        <v>25</v>
      </c>
      <c r="B190" s="2" t="s">
        <v>27</v>
      </c>
      <c r="C190" s="2" t="s">
        <v>10</v>
      </c>
      <c r="D190" s="2" t="s">
        <v>17</v>
      </c>
      <c r="E190" s="2">
        <v>1690</v>
      </c>
      <c r="F190" s="2" t="s">
        <v>512</v>
      </c>
    </row>
    <row r="191" spans="1:6" ht="15" customHeight="1" x14ac:dyDescent="0.35">
      <c r="A191" s="2" t="s">
        <v>25</v>
      </c>
      <c r="B191" s="2" t="s">
        <v>27</v>
      </c>
      <c r="C191" s="2" t="s">
        <v>10</v>
      </c>
      <c r="D191" s="2" t="s">
        <v>18</v>
      </c>
      <c r="E191" s="2">
        <v>1820</v>
      </c>
      <c r="F191" s="2" t="s">
        <v>513</v>
      </c>
    </row>
    <row r="192" spans="1:6" ht="15" customHeight="1" x14ac:dyDescent="0.35">
      <c r="A192" s="2" t="s">
        <v>25</v>
      </c>
      <c r="B192" s="2" t="s">
        <v>27</v>
      </c>
      <c r="C192" s="2" t="s">
        <v>10</v>
      </c>
      <c r="D192" s="2" t="s">
        <v>19</v>
      </c>
      <c r="E192" s="2">
        <v>1940</v>
      </c>
      <c r="F192" s="2" t="s">
        <v>514</v>
      </c>
    </row>
    <row r="193" spans="1:6" ht="15" customHeight="1" x14ac:dyDescent="0.35">
      <c r="A193" s="2" t="s">
        <v>25</v>
      </c>
      <c r="B193" s="2" t="s">
        <v>27</v>
      </c>
      <c r="C193" s="2" t="s">
        <v>10</v>
      </c>
      <c r="D193" s="2" t="s">
        <v>20</v>
      </c>
      <c r="E193" s="2">
        <v>1970</v>
      </c>
      <c r="F193" s="2" t="s">
        <v>515</v>
      </c>
    </row>
    <row r="194" spans="1:6" ht="15" customHeight="1" x14ac:dyDescent="0.35">
      <c r="A194" s="2" t="s">
        <v>25</v>
      </c>
      <c r="B194" s="2" t="s">
        <v>27</v>
      </c>
      <c r="C194" s="2" t="s">
        <v>10</v>
      </c>
      <c r="D194" s="2" t="s">
        <v>21</v>
      </c>
      <c r="E194" s="2">
        <v>2480</v>
      </c>
      <c r="F194" s="2" t="s">
        <v>516</v>
      </c>
    </row>
    <row r="195" spans="1:6" ht="15" customHeight="1" x14ac:dyDescent="0.35">
      <c r="A195" s="2" t="s">
        <v>25</v>
      </c>
      <c r="B195" s="2" t="s">
        <v>27</v>
      </c>
      <c r="C195" s="2" t="s">
        <v>32</v>
      </c>
      <c r="D195" s="2" t="s">
        <v>18</v>
      </c>
      <c r="E195" s="2">
        <v>2120</v>
      </c>
      <c r="F195" s="2" t="s">
        <v>517</v>
      </c>
    </row>
    <row r="196" spans="1:6" ht="15" customHeight="1" x14ac:dyDescent="0.35">
      <c r="A196" s="2" t="s">
        <v>25</v>
      </c>
      <c r="B196" s="2" t="s">
        <v>27</v>
      </c>
      <c r="C196" s="2" t="s">
        <v>32</v>
      </c>
      <c r="D196" s="2" t="s">
        <v>19</v>
      </c>
      <c r="E196" s="2">
        <v>2240</v>
      </c>
      <c r="F196" s="2" t="s">
        <v>518</v>
      </c>
    </row>
    <row r="197" spans="1:6" ht="15" customHeight="1" x14ac:dyDescent="0.35">
      <c r="A197" s="2" t="s">
        <v>25</v>
      </c>
      <c r="B197" s="2" t="s">
        <v>27</v>
      </c>
      <c r="C197" s="2" t="s">
        <v>32</v>
      </c>
      <c r="D197" s="2" t="s">
        <v>33</v>
      </c>
      <c r="E197" s="2">
        <v>2180</v>
      </c>
      <c r="F197" s="2" t="s">
        <v>519</v>
      </c>
    </row>
    <row r="198" spans="1:6" ht="15" customHeight="1" x14ac:dyDescent="0.35">
      <c r="A198" s="2" t="s">
        <v>25</v>
      </c>
      <c r="B198" s="2" t="s">
        <v>27</v>
      </c>
      <c r="C198" s="2" t="s">
        <v>32</v>
      </c>
      <c r="D198" s="2" t="s">
        <v>34</v>
      </c>
      <c r="E198" s="2">
        <v>2480</v>
      </c>
      <c r="F198" s="2" t="s">
        <v>520</v>
      </c>
    </row>
    <row r="199" spans="1:6" ht="15" customHeight="1" x14ac:dyDescent="0.35">
      <c r="A199" s="2" t="s">
        <v>25</v>
      </c>
      <c r="B199" s="2" t="s">
        <v>27</v>
      </c>
      <c r="C199" s="2" t="s">
        <v>32</v>
      </c>
      <c r="D199" s="2" t="s">
        <v>35</v>
      </c>
      <c r="E199" s="2">
        <v>2600</v>
      </c>
      <c r="F199" s="2" t="s">
        <v>521</v>
      </c>
    </row>
    <row r="200" spans="1:6" ht="15" customHeight="1" x14ac:dyDescent="0.35">
      <c r="A200" s="2" t="s">
        <v>53</v>
      </c>
      <c r="B200" s="2" t="s">
        <v>50</v>
      </c>
      <c r="C200" s="2" t="s">
        <v>214</v>
      </c>
      <c r="D200" s="2" t="s">
        <v>11</v>
      </c>
      <c r="E200" s="2">
        <v>540</v>
      </c>
      <c r="F200" s="2" t="s">
        <v>522</v>
      </c>
    </row>
    <row r="201" spans="1:6" ht="15" customHeight="1" x14ac:dyDescent="0.35">
      <c r="A201" s="2" t="s">
        <v>53</v>
      </c>
      <c r="B201" s="2" t="s">
        <v>50</v>
      </c>
      <c r="C201" s="2" t="s">
        <v>214</v>
      </c>
      <c r="D201" s="2" t="s">
        <v>54</v>
      </c>
      <c r="E201" s="2">
        <v>790</v>
      </c>
      <c r="F201" s="2" t="s">
        <v>523</v>
      </c>
    </row>
    <row r="202" spans="1:6" ht="15" customHeight="1" x14ac:dyDescent="0.35">
      <c r="A202" s="2" t="s">
        <v>53</v>
      </c>
      <c r="B202" s="2" t="s">
        <v>50</v>
      </c>
      <c r="C202" s="2" t="s">
        <v>214</v>
      </c>
      <c r="D202" s="2" t="s">
        <v>55</v>
      </c>
      <c r="E202" s="2">
        <v>910</v>
      </c>
      <c r="F202" s="2" t="s">
        <v>524</v>
      </c>
    </row>
    <row r="203" spans="1:6" ht="15" customHeight="1" x14ac:dyDescent="0.35">
      <c r="A203" s="2" t="s">
        <v>53</v>
      </c>
      <c r="B203" s="2" t="s">
        <v>50</v>
      </c>
      <c r="C203" s="2" t="s">
        <v>214</v>
      </c>
      <c r="D203" s="2" t="s">
        <v>56</v>
      </c>
      <c r="E203" s="2">
        <v>910</v>
      </c>
      <c r="F203" s="2" t="s">
        <v>525</v>
      </c>
    </row>
    <row r="204" spans="1:6" ht="15" customHeight="1" x14ac:dyDescent="0.35">
      <c r="A204" s="2" t="s">
        <v>53</v>
      </c>
      <c r="B204" s="2" t="s">
        <v>50</v>
      </c>
      <c r="C204" s="2" t="s">
        <v>214</v>
      </c>
      <c r="D204" s="2" t="s">
        <v>19</v>
      </c>
      <c r="E204" s="2">
        <v>1030</v>
      </c>
      <c r="F204" s="2" t="s">
        <v>526</v>
      </c>
    </row>
    <row r="205" spans="1:6" ht="15" customHeight="1" x14ac:dyDescent="0.35">
      <c r="A205" s="2" t="s">
        <v>53</v>
      </c>
      <c r="B205" s="2" t="s">
        <v>50</v>
      </c>
      <c r="C205" s="2" t="s">
        <v>214</v>
      </c>
      <c r="D205" s="2" t="s">
        <v>20</v>
      </c>
      <c r="E205" s="2">
        <v>1090</v>
      </c>
      <c r="F205" s="2" t="s">
        <v>527</v>
      </c>
    </row>
    <row r="206" spans="1:6" ht="15" customHeight="1" x14ac:dyDescent="0.35">
      <c r="A206" s="2" t="s">
        <v>53</v>
      </c>
      <c r="B206" s="2" t="s">
        <v>50</v>
      </c>
      <c r="C206" s="2" t="s">
        <v>214</v>
      </c>
      <c r="D206" s="2" t="s">
        <v>57</v>
      </c>
      <c r="E206" s="2">
        <v>730</v>
      </c>
      <c r="F206" s="2" t="s">
        <v>528</v>
      </c>
    </row>
    <row r="207" spans="1:6" ht="15" customHeight="1" x14ac:dyDescent="0.35">
      <c r="A207" s="2" t="s">
        <v>53</v>
      </c>
      <c r="B207" s="2" t="s">
        <v>50</v>
      </c>
      <c r="C207" s="2" t="s">
        <v>214</v>
      </c>
      <c r="D207" s="2" t="s">
        <v>58</v>
      </c>
      <c r="E207" s="2" t="s">
        <v>529</v>
      </c>
      <c r="F207" s="2" t="s">
        <v>530</v>
      </c>
    </row>
    <row r="208" spans="1:6" ht="15" customHeight="1" x14ac:dyDescent="0.35">
      <c r="A208" s="2" t="s">
        <v>53</v>
      </c>
      <c r="B208" s="2" t="s">
        <v>50</v>
      </c>
      <c r="C208" s="2" t="s">
        <v>214</v>
      </c>
      <c r="D208" s="2" t="s">
        <v>59</v>
      </c>
      <c r="E208" s="2" t="s">
        <v>529</v>
      </c>
      <c r="F208" s="2" t="s">
        <v>531</v>
      </c>
    </row>
    <row r="209" spans="1:6" ht="15" customHeight="1" x14ac:dyDescent="0.35">
      <c r="A209" s="2" t="s">
        <v>53</v>
      </c>
      <c r="B209" s="2" t="s">
        <v>10</v>
      </c>
      <c r="C209" s="2" t="s">
        <v>214</v>
      </c>
      <c r="D209" s="2" t="s">
        <v>11</v>
      </c>
      <c r="E209" s="2">
        <v>620</v>
      </c>
      <c r="F209" s="2" t="s">
        <v>532</v>
      </c>
    </row>
    <row r="210" spans="1:6" ht="15" customHeight="1" x14ac:dyDescent="0.35">
      <c r="A210" s="2" t="s">
        <v>53</v>
      </c>
      <c r="B210" s="2" t="s">
        <v>10</v>
      </c>
      <c r="C210" s="2" t="s">
        <v>214</v>
      </c>
      <c r="D210" s="2" t="s">
        <v>54</v>
      </c>
      <c r="E210" s="2">
        <v>860</v>
      </c>
      <c r="F210" s="2" t="s">
        <v>533</v>
      </c>
    </row>
    <row r="211" spans="1:6" ht="15" customHeight="1" x14ac:dyDescent="0.35">
      <c r="A211" s="2" t="s">
        <v>53</v>
      </c>
      <c r="B211" s="2" t="s">
        <v>10</v>
      </c>
      <c r="C211" s="2" t="s">
        <v>214</v>
      </c>
      <c r="D211" s="2" t="s">
        <v>55</v>
      </c>
      <c r="E211" s="2">
        <v>980</v>
      </c>
      <c r="F211" s="2" t="s">
        <v>534</v>
      </c>
    </row>
    <row r="212" spans="1:6" ht="15" customHeight="1" x14ac:dyDescent="0.35">
      <c r="A212" s="2" t="s">
        <v>53</v>
      </c>
      <c r="B212" s="2" t="s">
        <v>10</v>
      </c>
      <c r="C212" s="2" t="s">
        <v>214</v>
      </c>
      <c r="D212" s="2" t="s">
        <v>60</v>
      </c>
      <c r="E212" s="2">
        <v>740</v>
      </c>
      <c r="F212" s="2" t="s">
        <v>535</v>
      </c>
    </row>
    <row r="213" spans="1:6" ht="15" customHeight="1" x14ac:dyDescent="0.35">
      <c r="A213" s="2" t="s">
        <v>53</v>
      </c>
      <c r="B213" s="2" t="s">
        <v>10</v>
      </c>
      <c r="C213" s="2" t="s">
        <v>214</v>
      </c>
      <c r="D213" s="2" t="s">
        <v>56</v>
      </c>
      <c r="E213" s="2">
        <v>980</v>
      </c>
      <c r="F213" s="2" t="s">
        <v>536</v>
      </c>
    </row>
    <row r="214" spans="1:6" ht="15" customHeight="1" x14ac:dyDescent="0.35">
      <c r="A214" s="2" t="s">
        <v>53</v>
      </c>
      <c r="B214" s="2" t="s">
        <v>10</v>
      </c>
      <c r="C214" s="2" t="s">
        <v>214</v>
      </c>
      <c r="D214" s="2" t="s">
        <v>19</v>
      </c>
      <c r="E214" s="2">
        <v>1100</v>
      </c>
      <c r="F214" s="2" t="s">
        <v>537</v>
      </c>
    </row>
    <row r="215" spans="1:6" ht="15" customHeight="1" x14ac:dyDescent="0.35">
      <c r="A215" s="2" t="s">
        <v>53</v>
      </c>
      <c r="B215" s="2" t="s">
        <v>10</v>
      </c>
      <c r="C215" s="2" t="s">
        <v>214</v>
      </c>
      <c r="D215" s="2" t="s">
        <v>20</v>
      </c>
      <c r="E215" s="2">
        <v>1160</v>
      </c>
      <c r="F215" s="2" t="s">
        <v>538</v>
      </c>
    </row>
    <row r="216" spans="1:6" ht="15" customHeight="1" x14ac:dyDescent="0.35">
      <c r="A216" s="2" t="s">
        <v>53</v>
      </c>
      <c r="B216" s="2" t="s">
        <v>10</v>
      </c>
      <c r="C216" s="2" t="s">
        <v>214</v>
      </c>
      <c r="D216" s="2" t="s">
        <v>57</v>
      </c>
      <c r="E216" s="2">
        <v>800</v>
      </c>
      <c r="F216" s="2" t="s">
        <v>539</v>
      </c>
    </row>
    <row r="217" spans="1:6" ht="15" customHeight="1" x14ac:dyDescent="0.35">
      <c r="A217" s="2" t="s">
        <v>53</v>
      </c>
      <c r="B217" s="2" t="s">
        <v>10</v>
      </c>
      <c r="C217" s="2" t="s">
        <v>214</v>
      </c>
      <c r="D217" s="2" t="s">
        <v>58</v>
      </c>
      <c r="E217" s="2">
        <v>1030</v>
      </c>
      <c r="F217" s="2" t="s">
        <v>540</v>
      </c>
    </row>
    <row r="218" spans="1:6" ht="15" customHeight="1" x14ac:dyDescent="0.35">
      <c r="A218" s="2" t="s">
        <v>53</v>
      </c>
      <c r="B218" s="2" t="s">
        <v>10</v>
      </c>
      <c r="C218" s="2" t="s">
        <v>214</v>
      </c>
      <c r="D218" s="2" t="s">
        <v>59</v>
      </c>
      <c r="E218" s="2" t="s">
        <v>529</v>
      </c>
      <c r="F218" s="2" t="s">
        <v>541</v>
      </c>
    </row>
    <row r="219" spans="1:6" ht="15" customHeight="1" x14ac:dyDescent="0.35">
      <c r="A219" s="2" t="s">
        <v>53</v>
      </c>
      <c r="B219" s="2" t="s">
        <v>61</v>
      </c>
      <c r="C219" s="2" t="s">
        <v>214</v>
      </c>
      <c r="D219" s="2" t="s">
        <v>62</v>
      </c>
      <c r="E219" s="2">
        <v>540</v>
      </c>
      <c r="F219" s="2" t="s">
        <v>542</v>
      </c>
    </row>
    <row r="220" spans="1:6" ht="15" customHeight="1" x14ac:dyDescent="0.35">
      <c r="A220" s="2" t="s">
        <v>53</v>
      </c>
      <c r="B220" s="2" t="s">
        <v>63</v>
      </c>
      <c r="C220" s="2" t="s">
        <v>214</v>
      </c>
      <c r="D220" s="2" t="s">
        <v>64</v>
      </c>
      <c r="E220" s="2">
        <v>1030</v>
      </c>
      <c r="F220" s="2" t="s">
        <v>543</v>
      </c>
    </row>
    <row r="221" spans="1:6" ht="15" customHeight="1" x14ac:dyDescent="0.35">
      <c r="A221" s="2" t="s">
        <v>53</v>
      </c>
      <c r="B221" s="2" t="s">
        <v>65</v>
      </c>
      <c r="C221" s="2" t="s">
        <v>214</v>
      </c>
      <c r="D221" s="2" t="s">
        <v>64</v>
      </c>
      <c r="E221" s="2">
        <v>850</v>
      </c>
      <c r="F221" s="2" t="s">
        <v>544</v>
      </c>
    </row>
    <row r="222" spans="1:6" ht="15" customHeight="1" x14ac:dyDescent="0.35">
      <c r="A222" s="2" t="s">
        <v>53</v>
      </c>
      <c r="B222" s="2" t="s">
        <v>66</v>
      </c>
      <c r="C222" s="2" t="s">
        <v>214</v>
      </c>
      <c r="D222" s="2" t="s">
        <v>67</v>
      </c>
      <c r="E222" s="2">
        <v>300</v>
      </c>
      <c r="F222" s="2" t="s">
        <v>545</v>
      </c>
    </row>
    <row r="223" spans="1:6" ht="15" customHeight="1" x14ac:dyDescent="0.35">
      <c r="A223" s="2" t="s">
        <v>68</v>
      </c>
      <c r="B223" s="2" t="s">
        <v>69</v>
      </c>
      <c r="C223" s="2" t="s">
        <v>214</v>
      </c>
      <c r="D223" s="2" t="s">
        <v>70</v>
      </c>
      <c r="E223" s="2">
        <v>1030</v>
      </c>
      <c r="F223" s="2" t="s">
        <v>546</v>
      </c>
    </row>
    <row r="224" spans="1:6" ht="41.25" customHeight="1" x14ac:dyDescent="0.35">
      <c r="A224" s="2" t="s">
        <v>68</v>
      </c>
      <c r="B224" s="22" t="s">
        <v>71</v>
      </c>
      <c r="C224" s="2" t="s">
        <v>214</v>
      </c>
      <c r="D224" s="2" t="s">
        <v>70</v>
      </c>
      <c r="E224" s="2">
        <v>1180</v>
      </c>
      <c r="F224" s="22" t="s">
        <v>547</v>
      </c>
    </row>
    <row r="225" spans="1:6" ht="15" customHeight="1" x14ac:dyDescent="0.35">
      <c r="A225" s="2" t="s">
        <v>68</v>
      </c>
      <c r="B225" s="2" t="s">
        <v>218</v>
      </c>
      <c r="C225" s="2" t="s">
        <v>214</v>
      </c>
      <c r="D225" s="2" t="s">
        <v>70</v>
      </c>
      <c r="E225" s="2">
        <v>670</v>
      </c>
      <c r="F225" s="2" t="s">
        <v>548</v>
      </c>
    </row>
    <row r="226" spans="1:6" ht="15" customHeight="1" x14ac:dyDescent="0.35">
      <c r="A226" s="2" t="s">
        <v>73</v>
      </c>
      <c r="B226" s="2" t="s">
        <v>74</v>
      </c>
      <c r="C226" s="2" t="s">
        <v>214</v>
      </c>
      <c r="D226" s="2" t="s">
        <v>214</v>
      </c>
      <c r="E226" s="2" t="s">
        <v>529</v>
      </c>
      <c r="F226" s="2" t="s">
        <v>549</v>
      </c>
    </row>
    <row r="227" spans="1:6" ht="15" customHeight="1" x14ac:dyDescent="0.35">
      <c r="A227" s="2" t="s">
        <v>73</v>
      </c>
      <c r="B227" s="2" t="s">
        <v>75</v>
      </c>
      <c r="C227" s="2" t="s">
        <v>214</v>
      </c>
      <c r="D227" s="2" t="s">
        <v>214</v>
      </c>
      <c r="E227" s="2" t="s">
        <v>529</v>
      </c>
      <c r="F227" s="2" t="s">
        <v>550</v>
      </c>
    </row>
    <row r="228" spans="1:6" ht="15" customHeight="1" x14ac:dyDescent="0.35">
      <c r="A228" s="2" t="s">
        <v>73</v>
      </c>
      <c r="B228" s="2" t="s">
        <v>76</v>
      </c>
      <c r="C228" s="2" t="s">
        <v>214</v>
      </c>
      <c r="D228" s="2" t="s">
        <v>214</v>
      </c>
      <c r="E228" s="2" t="s">
        <v>529</v>
      </c>
      <c r="F228" s="2" t="s">
        <v>551</v>
      </c>
    </row>
    <row r="229" spans="1:6" ht="15" customHeight="1" x14ac:dyDescent="0.35">
      <c r="A229" s="2" t="s">
        <v>73</v>
      </c>
      <c r="B229" s="2" t="s">
        <v>77</v>
      </c>
      <c r="C229" s="2" t="s">
        <v>214</v>
      </c>
      <c r="D229" s="2" t="s">
        <v>214</v>
      </c>
      <c r="E229" s="2" t="s">
        <v>529</v>
      </c>
      <c r="F229" s="2" t="s">
        <v>552</v>
      </c>
    </row>
    <row r="230" spans="1:6" ht="15" customHeight="1" x14ac:dyDescent="0.35">
      <c r="A230" s="2" t="s">
        <v>73</v>
      </c>
      <c r="B230" s="2" t="s">
        <v>78</v>
      </c>
      <c r="C230" s="2" t="s">
        <v>214</v>
      </c>
      <c r="D230" s="2" t="s">
        <v>79</v>
      </c>
      <c r="E230" s="2" t="s">
        <v>529</v>
      </c>
      <c r="F230" s="2" t="s">
        <v>553</v>
      </c>
    </row>
    <row r="231" spans="1:6" ht="15" customHeight="1" x14ac:dyDescent="0.35">
      <c r="A231" s="2" t="s">
        <v>80</v>
      </c>
      <c r="B231" s="2" t="s">
        <v>81</v>
      </c>
      <c r="C231" s="2" t="s">
        <v>214</v>
      </c>
      <c r="D231" s="2" t="s">
        <v>214</v>
      </c>
      <c r="E231" s="2">
        <v>2970</v>
      </c>
      <c r="F231" s="2" t="s">
        <v>554</v>
      </c>
    </row>
    <row r="232" spans="1:6" ht="15" customHeight="1" x14ac:dyDescent="0.35">
      <c r="A232" s="2" t="s">
        <v>80</v>
      </c>
      <c r="B232" s="2" t="s">
        <v>82</v>
      </c>
      <c r="C232" s="2" t="s">
        <v>214</v>
      </c>
      <c r="D232" s="2" t="s">
        <v>83</v>
      </c>
      <c r="E232" s="2">
        <v>9020</v>
      </c>
      <c r="F232" s="2" t="s">
        <v>555</v>
      </c>
    </row>
    <row r="233" spans="1:6" ht="15" customHeight="1" x14ac:dyDescent="0.35">
      <c r="A233" s="2" t="s">
        <v>80</v>
      </c>
      <c r="B233" s="2" t="s">
        <v>82</v>
      </c>
      <c r="C233" s="2" t="s">
        <v>214</v>
      </c>
      <c r="D233" s="2" t="s">
        <v>84</v>
      </c>
      <c r="E233" s="2">
        <v>10230</v>
      </c>
      <c r="F233" s="2" t="s">
        <v>556</v>
      </c>
    </row>
    <row r="234" spans="1:6" ht="15" customHeight="1" x14ac:dyDescent="0.35">
      <c r="A234" s="2" t="s">
        <v>80</v>
      </c>
      <c r="B234" s="2" t="s">
        <v>85</v>
      </c>
      <c r="C234" s="2" t="s">
        <v>214</v>
      </c>
      <c r="D234" s="2" t="s">
        <v>86</v>
      </c>
      <c r="E234" s="2">
        <v>12650</v>
      </c>
      <c r="F234" s="2" t="s">
        <v>557</v>
      </c>
    </row>
    <row r="235" spans="1:6" ht="15" customHeight="1" x14ac:dyDescent="0.35">
      <c r="A235" s="2" t="s">
        <v>80</v>
      </c>
      <c r="B235" s="2" t="s">
        <v>214</v>
      </c>
      <c r="C235" s="2" t="s">
        <v>214</v>
      </c>
      <c r="D235" s="2" t="s">
        <v>49</v>
      </c>
      <c r="E235" s="2">
        <v>2970</v>
      </c>
      <c r="F235" s="2" t="s">
        <v>558</v>
      </c>
    </row>
    <row r="236" spans="1:6" ht="15" customHeight="1" x14ac:dyDescent="0.35">
      <c r="A236" s="2" t="s">
        <v>87</v>
      </c>
      <c r="B236" s="2" t="s">
        <v>88</v>
      </c>
      <c r="C236" s="2" t="s">
        <v>214</v>
      </c>
      <c r="D236" s="2" t="s">
        <v>89</v>
      </c>
      <c r="E236" s="2">
        <v>1210</v>
      </c>
      <c r="F236" s="2" t="s">
        <v>559</v>
      </c>
    </row>
    <row r="237" spans="1:6" ht="15" customHeight="1" x14ac:dyDescent="0.35">
      <c r="A237" s="2" t="s">
        <v>87</v>
      </c>
      <c r="B237" s="2" t="s">
        <v>90</v>
      </c>
      <c r="C237" s="2" t="s">
        <v>214</v>
      </c>
      <c r="D237" s="2" t="s">
        <v>91</v>
      </c>
      <c r="E237" s="2">
        <v>36300</v>
      </c>
      <c r="F237" s="2" t="s">
        <v>560</v>
      </c>
    </row>
    <row r="238" spans="1:6" ht="15" customHeight="1" x14ac:dyDescent="0.35">
      <c r="A238" s="2" t="s">
        <v>87</v>
      </c>
      <c r="B238" s="2" t="s">
        <v>214</v>
      </c>
      <c r="C238" s="2" t="s">
        <v>214</v>
      </c>
      <c r="D238" s="2" t="s">
        <v>92</v>
      </c>
      <c r="E238" s="2">
        <v>54450</v>
      </c>
      <c r="F238" s="2" t="s">
        <v>561</v>
      </c>
    </row>
    <row r="239" spans="1:6" ht="15" customHeight="1" x14ac:dyDescent="0.35">
      <c r="A239" s="2" t="s">
        <v>87</v>
      </c>
      <c r="B239" s="2" t="s">
        <v>214</v>
      </c>
      <c r="C239" s="2" t="s">
        <v>214</v>
      </c>
      <c r="D239" s="2" t="s">
        <v>93</v>
      </c>
      <c r="E239" s="2">
        <v>30250</v>
      </c>
      <c r="F239" s="2" t="s">
        <v>562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121</vt:i4>
      </vt:variant>
    </vt:vector>
  </HeadingPairs>
  <TitlesOfParts>
    <vt:vector size="126" baseType="lpstr">
      <vt:lpstr>Master List</vt:lpstr>
      <vt:lpstr>Auto Qoutation</vt:lpstr>
      <vt:lpstr>new format </vt:lpstr>
      <vt:lpstr>Lists</vt:lpstr>
      <vt:lpstr>MasterFlat</vt:lpstr>
      <vt:lpstr>CAR_1</vt:lpstr>
      <vt:lpstr>CAR_2</vt:lpstr>
      <vt:lpstr>CAR_3</vt:lpstr>
      <vt:lpstr>CAR_4</vt:lpstr>
      <vt:lpstr>CAR_5</vt:lpstr>
      <vt:lpstr>CAR_6</vt:lpstr>
      <vt:lpstr>CAR_7</vt:lpstr>
      <vt:lpstr>CAR_8</vt:lpstr>
      <vt:lpstr>CAR_9</vt:lpstr>
      <vt:lpstr>FIN_1</vt:lpstr>
      <vt:lpstr>FIN_10</vt:lpstr>
      <vt:lpstr>FIN_11</vt:lpstr>
      <vt:lpstr>FIN_12</vt:lpstr>
      <vt:lpstr>FIN_13</vt:lpstr>
      <vt:lpstr>FIN_14</vt:lpstr>
      <vt:lpstr>FIN_15</vt:lpstr>
      <vt:lpstr>FIN_16</vt:lpstr>
      <vt:lpstr>FIN_17</vt:lpstr>
      <vt:lpstr>FIN_18</vt:lpstr>
      <vt:lpstr>FIN_19</vt:lpstr>
      <vt:lpstr>FIN_2</vt:lpstr>
      <vt:lpstr>FIN_20</vt:lpstr>
      <vt:lpstr>FIN_21</vt:lpstr>
      <vt:lpstr>FIN_22</vt:lpstr>
      <vt:lpstr>FIN_23</vt:lpstr>
      <vt:lpstr>FIN_24</vt:lpstr>
      <vt:lpstr>FIN_25</vt:lpstr>
      <vt:lpstr>FIN_26</vt:lpstr>
      <vt:lpstr>FIN_27</vt:lpstr>
      <vt:lpstr>FIN_28</vt:lpstr>
      <vt:lpstr>FIN_29</vt:lpstr>
      <vt:lpstr>FIN_3</vt:lpstr>
      <vt:lpstr>FIN_30</vt:lpstr>
      <vt:lpstr>FIN_31</vt:lpstr>
      <vt:lpstr>FIN_32</vt:lpstr>
      <vt:lpstr>FIN_33</vt:lpstr>
      <vt:lpstr>FIN_34</vt:lpstr>
      <vt:lpstr>FIN_35</vt:lpstr>
      <vt:lpstr>FIN_36</vt:lpstr>
      <vt:lpstr>FIN_37</vt:lpstr>
      <vt:lpstr>FIN_38</vt:lpstr>
      <vt:lpstr>FIN_39</vt:lpstr>
      <vt:lpstr>FIN_4</vt:lpstr>
      <vt:lpstr>FIN_40</vt:lpstr>
      <vt:lpstr>FIN_41</vt:lpstr>
      <vt:lpstr>FIN_42</vt:lpstr>
      <vt:lpstr>FIN_43</vt:lpstr>
      <vt:lpstr>FIN_44</vt:lpstr>
      <vt:lpstr>FIN_45</vt:lpstr>
      <vt:lpstr>FIN_46</vt:lpstr>
      <vt:lpstr>FIN_47</vt:lpstr>
      <vt:lpstr>FIN_48</vt:lpstr>
      <vt:lpstr>FIN_49</vt:lpstr>
      <vt:lpstr>FIN_5</vt:lpstr>
      <vt:lpstr>FIN_50</vt:lpstr>
      <vt:lpstr>FIN_51</vt:lpstr>
      <vt:lpstr>FIN_52</vt:lpstr>
      <vt:lpstr>FIN_53</vt:lpstr>
      <vt:lpstr>FIN_54</vt:lpstr>
      <vt:lpstr>FIN_55</vt:lpstr>
      <vt:lpstr>FIN_56</vt:lpstr>
      <vt:lpstr>FIN_57</vt:lpstr>
      <vt:lpstr>FIN_58</vt:lpstr>
      <vt:lpstr>FIN_59</vt:lpstr>
      <vt:lpstr>FIN_6</vt:lpstr>
      <vt:lpstr>FIN_60</vt:lpstr>
      <vt:lpstr>FIN_61</vt:lpstr>
      <vt:lpstr>FIN_62</vt:lpstr>
      <vt:lpstr>FIN_63</vt:lpstr>
      <vt:lpstr>FIN_64</vt:lpstr>
      <vt:lpstr>FIN_65</vt:lpstr>
      <vt:lpstr>FIN_66</vt:lpstr>
      <vt:lpstr>FIN_67</vt:lpstr>
      <vt:lpstr>FIN_68</vt:lpstr>
      <vt:lpstr>FIN_69</vt:lpstr>
      <vt:lpstr>FIN_7</vt:lpstr>
      <vt:lpstr>FIN_70</vt:lpstr>
      <vt:lpstr>FIN_71</vt:lpstr>
      <vt:lpstr>FIN_72</vt:lpstr>
      <vt:lpstr>FIN_73</vt:lpstr>
      <vt:lpstr>FIN_74</vt:lpstr>
      <vt:lpstr>FIN_75</vt:lpstr>
      <vt:lpstr>FIN_8</vt:lpstr>
      <vt:lpstr>FIN_9</vt:lpstr>
      <vt:lpstr>ITEMS_LIST</vt:lpstr>
      <vt:lpstr>MASTERFLAT_KEY</vt:lpstr>
      <vt:lpstr>MASTERFLAT_PRICE</vt:lpstr>
      <vt:lpstr>PAIRLIST</vt:lpstr>
      <vt:lpstr>SHU_1</vt:lpstr>
      <vt:lpstr>SHU_10</vt:lpstr>
      <vt:lpstr>SHU_11</vt:lpstr>
      <vt:lpstr>SHU_12</vt:lpstr>
      <vt:lpstr>SHU_13</vt:lpstr>
      <vt:lpstr>SHU_14</vt:lpstr>
      <vt:lpstr>SHU_15</vt:lpstr>
      <vt:lpstr>SHU_16</vt:lpstr>
      <vt:lpstr>SHU_17</vt:lpstr>
      <vt:lpstr>SHU_18</vt:lpstr>
      <vt:lpstr>SHU_19</vt:lpstr>
      <vt:lpstr>SHU_2</vt:lpstr>
      <vt:lpstr>SHU_20</vt:lpstr>
      <vt:lpstr>SHU_21</vt:lpstr>
      <vt:lpstr>SHU_22</vt:lpstr>
      <vt:lpstr>SHU_23</vt:lpstr>
      <vt:lpstr>SHU_24</vt:lpstr>
      <vt:lpstr>SHU_25</vt:lpstr>
      <vt:lpstr>SHU_26</vt:lpstr>
      <vt:lpstr>SHU_27</vt:lpstr>
      <vt:lpstr>SHU_28</vt:lpstr>
      <vt:lpstr>SHU_29</vt:lpstr>
      <vt:lpstr>SHU_3</vt:lpstr>
      <vt:lpstr>SHU_30</vt:lpstr>
      <vt:lpstr>SHU_31</vt:lpstr>
      <vt:lpstr>SHU_32</vt:lpstr>
      <vt:lpstr>SHU_4</vt:lpstr>
      <vt:lpstr>SHU_5</vt:lpstr>
      <vt:lpstr>SHU_6</vt:lpstr>
      <vt:lpstr>SHU_7</vt:lpstr>
      <vt:lpstr>SHU_8</vt:lpstr>
      <vt:lpstr>SHU_9</vt:lpstr>
      <vt:lpstr>TRIPLIST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HP-840 G4</cp:lastModifiedBy>
  <cp:revision>0</cp:revision>
  <dcterms:created xsi:type="dcterms:W3CDTF">2026-09-12T07:35:41Z</dcterms:created>
  <dcterms:modified xsi:type="dcterms:W3CDTF">2026-09-12T11:41:05Z</dcterms:modified>
  <dc:language>en-US</dc:language>
</cp:coreProperties>
</file>